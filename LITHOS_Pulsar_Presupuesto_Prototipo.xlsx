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 Prototipado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Resumen de I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E8E8E8"/>
      <sz val="8"/>
    </font>
    <font>
      <name val="Arial"/>
      <b val="1"/>
      <color rgb="00FFFFFF"/>
      <sz val="9"/>
    </font>
    <font>
      <name val="Arial"/>
      <color rgb="001A1A1A"/>
      <sz val="9"/>
    </font>
    <font>
      <name val="Arial"/>
      <color rgb="004A4A4A"/>
      <sz val="9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b val="1"/>
      <color rgb="00FFFFFF"/>
      <sz val="10"/>
    </font>
    <font>
      <name val="Arial"/>
      <b val="1"/>
      <color rgb="00E8E8E8"/>
      <sz val="11"/>
    </font>
    <font>
      <name val="Arial"/>
      <i val="1"/>
      <color rgb="004A4A4A"/>
      <sz val="8"/>
    </font>
    <font>
      <name val="Arial"/>
      <b val="1"/>
      <color rgb="00FFFFFF"/>
      <sz val="12"/>
    </font>
    <font>
      <name val="Arial"/>
      <color rgb="004A4A4A"/>
      <sz val="8"/>
    </font>
    <font>
      <name val="Arial"/>
      <b val="1"/>
      <color rgb="001A5C3A"/>
      <sz val="9"/>
    </font>
  </fonts>
  <fills count="11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CD2B31"/>
      </patternFill>
    </fill>
    <fill>
      <patternFill patternType="solid">
        <fgColor rgb="00F7F6F4"/>
      </patternFill>
    </fill>
    <fill>
      <patternFill patternType="solid">
        <fgColor rgb="00555555"/>
      </patternFill>
    </fill>
    <fill>
      <patternFill patternType="solid">
        <fgColor rgb="00888888"/>
      </patternFill>
    </fill>
    <fill>
      <patternFill patternType="solid">
        <fgColor rgb="006D1A1A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 indent="1"/>
    </xf>
    <xf numFmtId="4" fontId="9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indent="1"/>
    </xf>
    <xf numFmtId="4" fontId="9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4" fontId="13" fillId="6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6" customWidth="1" min="3" max="3"/>
    <col width="22" customWidth="1" min="4" max="4"/>
    <col width="6" customWidth="1" min="5" max="5"/>
    <col width="14" customWidth="1" min="6" max="6"/>
    <col width="13" customWidth="1" min="7" max="7"/>
    <col width="12" customWidth="1" min="8" max="8"/>
    <col width="12" customWidth="1" min="9" max="9"/>
    <col width="36" customWidth="1" min="10" max="10"/>
  </cols>
  <sheetData>
    <row r="1" ht="30" customHeight="1">
      <c r="A1" s="1" t="inlineStr">
        <is>
          <t>LITHOS WORKSHOP — PULSAR · PRESUPUESTO DE PROTOTIPADO</t>
        </is>
      </c>
    </row>
    <row r="2" ht="14" customHeight="1">
      <c r="A2" s="2" t="inlineStr">
        <is>
          <t>Inversion necesaria para validar hardware y firmware antes del primer lote de produccion. 5 unidades piloto. Montevideo, Uruguay — 2026.</t>
        </is>
      </c>
    </row>
    <row r="3" ht="20" customHeight="1">
      <c r="A3" s="3" t="inlineStr">
        <is>
          <t>#</t>
        </is>
      </c>
      <c r="B3" s="3" t="inlineStr">
        <is>
          <t>Categoria</t>
        </is>
      </c>
      <c r="C3" s="3" t="inlineStr">
        <is>
          <t>Descripcion</t>
        </is>
      </c>
      <c r="D3" s="3" t="inlineStr">
        <is>
          <t>Proveedor</t>
        </is>
      </c>
      <c r="E3" s="3" t="inlineStr">
        <is>
          <t>Cant.</t>
        </is>
      </c>
      <c r="F3" s="3" t="inlineStr">
        <is>
          <t>USD Unitario</t>
        </is>
      </c>
      <c r="G3" s="3" t="inlineStr">
        <is>
          <t>USD Total</t>
        </is>
      </c>
      <c r="H3" s="3" t="inlineStr">
        <is>
          <t>Lead Time</t>
        </is>
      </c>
      <c r="I3" s="3" t="inlineStr">
        <is>
          <t>Prioridad</t>
        </is>
      </c>
      <c r="J3" s="3" t="inlineStr">
        <is>
          <t>Observaciones</t>
        </is>
      </c>
    </row>
    <row r="4" ht="18" customHeight="1">
      <c r="A4" s="4" t="inlineStr">
        <is>
          <t>PCB Y ENSAMBLE (5 UNIDADES PILOTO)</t>
        </is>
      </c>
    </row>
    <row r="5" ht="32" customHeight="1">
      <c r="A5" s="5" t="n">
        <v>1</v>
      </c>
      <c r="B5" s="6" t="inlineStr">
        <is>
          <t>PCB</t>
        </is>
      </c>
      <c r="C5" s="7" t="inlineStr">
        <is>
          <t>PCB 16 capas ENIG — 292×102 mm (5 unidades)</t>
        </is>
      </c>
      <c r="D5" s="6" t="inlineStr">
        <is>
          <t>JLCPCB</t>
        </is>
      </c>
      <c r="E5" s="5" t="n">
        <v>5</v>
      </c>
      <c r="F5" s="8" t="n">
        <v>100</v>
      </c>
      <c r="G5" s="8" t="n">
        <v>500</v>
      </c>
      <c r="H5" s="6" t="inlineStr">
        <is>
          <t>10-14 dias</t>
        </is>
      </c>
      <c r="I5" s="9" t="inlineStr">
        <is>
          <t>Critica</t>
        </is>
      </c>
      <c r="J5" s="7" t="inlineStr">
        <is>
          <t>16L JLC04161H-7628. ENIG. IPC Clase 2. Setup fee incluido.</t>
        </is>
      </c>
    </row>
    <row r="6" ht="32" customHeight="1">
      <c r="A6" s="10" t="n">
        <v>2</v>
      </c>
      <c r="B6" s="11" t="inlineStr">
        <is>
          <t>PCB</t>
        </is>
      </c>
      <c r="C6" s="12" t="inlineStr">
        <is>
          <t>PCBA — ensamble SMD completo (5 unidades)</t>
        </is>
      </c>
      <c r="D6" s="11" t="inlineStr">
        <is>
          <t>JLCPCB SMT</t>
        </is>
      </c>
      <c r="E6" s="10" t="n">
        <v>5</v>
      </c>
      <c r="F6" s="13" t="n">
        <v>110</v>
      </c>
      <c r="G6" s="13" t="n">
        <v>550</v>
      </c>
      <c r="H6" s="11" t="inlineStr">
        <is>
          <t>3-5 dias adicionales</t>
        </is>
      </c>
      <c r="I6" s="9" t="inlineStr">
        <is>
          <t>Critica</t>
        </is>
      </c>
      <c r="J6" s="12" t="inlineStr">
        <is>
          <t>Stencil incluido. BOM gestionado por JLCPCB. AOI incluido.</t>
        </is>
      </c>
    </row>
    <row r="7" ht="18" customHeight="1">
      <c r="A7" s="4" t="inlineStr">
        <is>
          <t>COMPONENTES Y BOM COMPLETO</t>
        </is>
      </c>
    </row>
    <row r="8" ht="32" customHeight="1">
      <c r="A8" s="5" t="n">
        <v>1</v>
      </c>
      <c r="B8" s="6" t="inlineStr">
        <is>
          <t>COMP</t>
        </is>
      </c>
      <c r="C8" s="7" t="inlineStr">
        <is>
          <t>BOM completo — todos los ICs y pasivos (5 kits)</t>
        </is>
      </c>
      <c r="D8" s="6" t="inlineStr">
        <is>
          <t>LCSC + Mouser</t>
        </is>
      </c>
      <c r="E8" s="5" t="n">
        <v>5</v>
      </c>
      <c r="F8" s="8" t="n">
        <v>280</v>
      </c>
      <c r="G8" s="8" t="n">
        <v>1400</v>
      </c>
      <c r="H8" s="6" t="inlineStr">
        <is>
          <t>3-7 dias</t>
        </is>
      </c>
      <c r="I8" s="9" t="inlineStr">
        <is>
          <t>Critica</t>
        </is>
      </c>
      <c r="J8" s="7" t="inlineStr">
        <is>
          <t>FPGA $88, STM32 $6.80, ADC×4 $68, Hall×64 $28, FIDO2 $2.40, SRAM $12, Flash, osciladores, reguladores, pasivos.</t>
        </is>
      </c>
    </row>
    <row r="9" ht="18" customHeight="1">
      <c r="A9" s="4" t="inlineStr">
        <is>
          <t>CARCASA Y MECANICA</t>
        </is>
      </c>
    </row>
    <row r="10" ht="32" customHeight="1">
      <c r="A10" s="5" t="n">
        <v>1</v>
      </c>
      <c r="B10" s="6" t="inlineStr">
        <is>
          <t>ENC</t>
        </is>
      </c>
      <c r="C10" s="7" t="inlineStr">
        <is>
          <t>CNC aluminio 6061-T6 — carcasa top + bottom (5 sets)</t>
        </is>
      </c>
      <c r="D10" s="6" t="inlineStr">
        <is>
          <t>JLCCNC</t>
        </is>
      </c>
      <c r="E10" s="5" t="n">
        <v>5</v>
      </c>
      <c r="F10" s="8" t="n">
        <v>180</v>
      </c>
      <c r="G10" s="8" t="n">
        <v>900</v>
      </c>
      <c r="H10" s="6" t="inlineStr">
        <is>
          <t>5-7 dias</t>
        </is>
      </c>
      <c r="I10" s="9" t="inlineStr">
        <is>
          <t>Critica</t>
        </is>
      </c>
      <c r="J10" s="7" t="inlineStr">
        <is>
          <t>Hard anodize negro mate. Tolerancia ±0.05 mm. Piezas top + bottom.</t>
        </is>
      </c>
    </row>
    <row r="11" ht="32" customHeight="1">
      <c r="A11" s="10" t="n">
        <v>2</v>
      </c>
      <c r="B11" s="11" t="inlineStr">
        <is>
          <t>ENC</t>
        </is>
      </c>
      <c r="C11" s="12" t="inlineStr">
        <is>
          <t>Placa de peso SS304 (5 unidades)</t>
        </is>
      </c>
      <c r="D11" s="11" t="inlineStr">
        <is>
          <t>JLCCNC</t>
        </is>
      </c>
      <c r="E11" s="10" t="n">
        <v>5</v>
      </c>
      <c r="F11" s="13" t="n">
        <v>30</v>
      </c>
      <c r="G11" s="13" t="n">
        <v>150</v>
      </c>
      <c r="H11" s="11" t="inlineStr">
        <is>
          <t>5 dias</t>
        </is>
      </c>
      <c r="I11" s="14" t="inlineStr">
        <is>
          <t>Alta</t>
        </is>
      </c>
      <c r="J11" s="12" t="inlineStr">
        <is>
          <t>Damping acustico e inercial.</t>
        </is>
      </c>
    </row>
    <row r="12" ht="32" customHeight="1">
      <c r="A12" s="5" t="n">
        <v>3</v>
      </c>
      <c r="B12" s="6" t="inlineStr">
        <is>
          <t>ENC</t>
        </is>
      </c>
      <c r="C12" s="7" t="inlineStr">
        <is>
          <t>Gasket de silicona Shore A40 (5 unidades)</t>
        </is>
      </c>
      <c r="D12" s="6" t="inlineStr">
        <is>
          <t>Shenzhen Silicone</t>
        </is>
      </c>
      <c r="E12" s="5" t="n">
        <v>5</v>
      </c>
      <c r="F12" s="8" t="n">
        <v>18</v>
      </c>
      <c r="G12" s="8" t="n">
        <v>90</v>
      </c>
      <c r="H12" s="6" t="inlineStr">
        <is>
          <t>10 dias</t>
        </is>
      </c>
      <c r="I12" s="14" t="inlineStr">
        <is>
          <t>Alta</t>
        </is>
      </c>
      <c r="J12" s="7" t="inlineStr">
        <is>
          <t>Perfil custom. Amortiguacion entre PCB y carcasa.</t>
        </is>
      </c>
    </row>
    <row r="13" ht="32" customHeight="1">
      <c r="A13" s="10" t="n">
        <v>4</v>
      </c>
      <c r="B13" s="11" t="inlineStr">
        <is>
          <t>ENC</t>
        </is>
      </c>
      <c r="C13" s="12" t="inlineStr">
        <is>
          <t>Tornilleria, pies, hardware menor (kits)</t>
        </is>
      </c>
      <c r="D13" s="11" t="inlineStr">
        <is>
          <t>LCSC / local</t>
        </is>
      </c>
      <c r="E13" s="10" t="n">
        <v>5</v>
      </c>
      <c r="F13" s="13" t="n">
        <v>5</v>
      </c>
      <c r="G13" s="13" t="n">
        <v>25</v>
      </c>
      <c r="H13" s="11" t="inlineStr">
        <is>
          <t>3-5 dias</t>
        </is>
      </c>
      <c r="I13" s="15" t="inlineStr">
        <is>
          <t>Media</t>
        </is>
      </c>
      <c r="J13" s="12" t="inlineStr">
        <is>
          <t>M2/M3 acero inoxidable, pies de silicona 3M.</t>
        </is>
      </c>
    </row>
    <row r="14" ht="18" customHeight="1">
      <c r="A14" s="4" t="inlineStr">
        <is>
          <t>KEYCAPS PARA PROTOTIPADO</t>
        </is>
      </c>
    </row>
    <row r="15" ht="32" customHeight="1">
      <c r="A15" s="5" t="n">
        <v>1</v>
      </c>
      <c r="B15" s="6" t="inlineStr">
        <is>
          <t>KEY</t>
        </is>
      </c>
      <c r="C15" s="7" t="inlineStr">
        <is>
          <t>Keycaps PBT double-shot para prototipado (5 sets)</t>
        </is>
      </c>
      <c r="D15" s="6" t="inlineStr">
        <is>
          <t>KBDfans</t>
        </is>
      </c>
      <c r="E15" s="5" t="n">
        <v>5</v>
      </c>
      <c r="F15" s="8" t="n">
        <v>45</v>
      </c>
      <c r="G15" s="8" t="n">
        <v>225</v>
      </c>
      <c r="H15" s="6" t="inlineStr">
        <is>
          <t>7-14 dias</t>
        </is>
      </c>
      <c r="I15" s="14" t="inlineStr">
        <is>
          <t>Alta</t>
        </is>
      </c>
      <c r="J15" s="7" t="inlineStr">
        <is>
          <t>PBT estandar. Para testing funcional. CeraKey reservado para produccion.</t>
        </is>
      </c>
    </row>
    <row r="16" ht="18" customHeight="1">
      <c r="A16" s="4" t="inlineStr">
        <is>
          <t>CONECTIVIDAD Y CABLES</t>
        </is>
      </c>
    </row>
    <row r="17" ht="32" customHeight="1">
      <c r="A17" s="5" t="n">
        <v>1</v>
      </c>
      <c r="B17" s="6" t="inlineStr">
        <is>
          <t>CONN</t>
        </is>
      </c>
      <c r="C17" s="7" t="inlineStr">
        <is>
          <t>Cable USB-C trenzado 1.8m (5 unidades)</t>
        </is>
      </c>
      <c r="D17" s="6" t="inlineStr">
        <is>
          <t>Shenzhen Cable Co.</t>
        </is>
      </c>
      <c r="E17" s="5" t="n">
        <v>5</v>
      </c>
      <c r="F17" s="8" t="n">
        <v>6</v>
      </c>
      <c r="G17" s="8" t="n">
        <v>30</v>
      </c>
      <c r="H17" s="6" t="inlineStr">
        <is>
          <t>3-5 dias</t>
        </is>
      </c>
      <c r="I17" s="16" t="inlineStr">
        <is>
          <t>Baja</t>
        </is>
      </c>
      <c r="J17" s="7" t="inlineStr">
        <is>
          <t>USB 2.0 HS, 20V/3A. Para testing y primera entrega.</t>
        </is>
      </c>
    </row>
    <row r="18" ht="32" customHeight="1">
      <c r="A18" s="10" t="n">
        <v>2</v>
      </c>
      <c r="B18" s="11" t="inlineStr">
        <is>
          <t>CONN</t>
        </is>
      </c>
      <c r="C18" s="12" t="inlineStr">
        <is>
          <t>Conectores JST, headers, pines de prueba (kit)</t>
        </is>
      </c>
      <c r="D18" s="11" t="inlineStr">
        <is>
          <t>LCSC</t>
        </is>
      </c>
      <c r="E18" s="10" t="n">
        <v>1</v>
      </c>
      <c r="F18" s="13" t="n">
        <v>20</v>
      </c>
      <c r="G18" s="13" t="n">
        <v>20</v>
      </c>
      <c r="H18" s="11" t="inlineStr">
        <is>
          <t>3-5 dias</t>
        </is>
      </c>
      <c r="I18" s="15" t="inlineStr">
        <is>
          <t>Media</t>
        </is>
      </c>
      <c r="J18" s="12" t="inlineStr">
        <is>
          <t>Debug headers, JTAG, puntos de prueba I2C.</t>
        </is>
      </c>
    </row>
    <row r="19" ht="18" customHeight="1">
      <c r="A19" s="4" t="inlineStr">
        <is>
          <t>EQUIPAMIENTO DE LABORATORIO</t>
        </is>
      </c>
    </row>
    <row r="20" ht="32" customHeight="1">
      <c r="A20" s="5" t="n">
        <v>1</v>
      </c>
      <c r="B20" s="6" t="inlineStr">
        <is>
          <t>LAB</t>
        </is>
      </c>
      <c r="C20" s="7" t="inlineStr">
        <is>
          <t>Osciloscopio Rigol DS1054Z — 4 canales, 50 MHz</t>
        </is>
      </c>
      <c r="D20" s="6" t="inlineStr">
        <is>
          <t>Rigol / Amazon</t>
        </is>
      </c>
      <c r="E20" s="5" t="n">
        <v>1</v>
      </c>
      <c r="F20" s="8" t="n">
        <v>349</v>
      </c>
      <c r="G20" s="8" t="n">
        <v>349</v>
      </c>
      <c r="H20" s="6" t="inlineStr">
        <is>
          <t>5-7 dias</t>
        </is>
      </c>
      <c r="I20" s="9" t="inlineStr">
        <is>
          <t>Critica</t>
        </is>
      </c>
      <c r="J20" s="7" t="inlineStr">
        <is>
          <t>Verificacion de CLK 48/50 MHz, USB D+/D-, SPI, senales analogicas.</t>
        </is>
      </c>
    </row>
    <row r="21" ht="32" customHeight="1">
      <c r="A21" s="10" t="n">
        <v>2</v>
      </c>
      <c r="B21" s="11" t="inlineStr">
        <is>
          <t>LAB</t>
        </is>
      </c>
      <c r="C21" s="12" t="inlineStr">
        <is>
          <t>Analizador logico Saleae Logic 8 — 100 MS/s</t>
        </is>
      </c>
      <c r="D21" s="11" t="inlineStr">
        <is>
          <t>Saleae</t>
        </is>
      </c>
      <c r="E21" s="10" t="n">
        <v>1</v>
      </c>
      <c r="F21" s="13" t="n">
        <v>399</v>
      </c>
      <c r="G21" s="13" t="n">
        <v>399</v>
      </c>
      <c r="H21" s="11" t="inlineStr">
        <is>
          <t>5-7 dias</t>
        </is>
      </c>
      <c r="I21" s="9" t="inlineStr">
        <is>
          <t>Critica</t>
        </is>
      </c>
      <c r="J21" s="12" t="inlineStr">
        <is>
          <t>8 canales digitales. Protocolo SPI, I2C, UART, JTAG.</t>
        </is>
      </c>
    </row>
    <row r="22" ht="32" customHeight="1">
      <c r="A22" s="5" t="n">
        <v>3</v>
      </c>
      <c r="B22" s="6" t="inlineStr">
        <is>
          <t>LAB</t>
        </is>
      </c>
      <c r="C22" s="7" t="inlineStr">
        <is>
          <t>Multimetro Fluke 87V True RMS</t>
        </is>
      </c>
      <c r="D22" s="6" t="inlineStr">
        <is>
          <t>Fluke</t>
        </is>
      </c>
      <c r="E22" s="5" t="n">
        <v>1</v>
      </c>
      <c r="F22" s="8" t="n">
        <v>289</v>
      </c>
      <c r="G22" s="8" t="n">
        <v>289</v>
      </c>
      <c r="H22" s="6" t="inlineStr">
        <is>
          <t>3-5 dias</t>
        </is>
      </c>
      <c r="I22" s="14" t="inlineStr">
        <is>
          <t>Alta</t>
        </is>
      </c>
      <c r="J22" s="7" t="inlineStr">
        <is>
          <t>Verificacion de rails de potencia: +1V0, +1V8, +3V3, VBUS.</t>
        </is>
      </c>
    </row>
    <row r="23" ht="32" customHeight="1">
      <c r="A23" s="10" t="n">
        <v>4</v>
      </c>
      <c r="B23" s="11" t="inlineStr">
        <is>
          <t>LAB</t>
        </is>
      </c>
      <c r="C23" s="12" t="inlineStr">
        <is>
          <t>Estacion de soldadura / aire caliente Hakko FX-951</t>
        </is>
      </c>
      <c r="D23" s="11" t="inlineStr">
        <is>
          <t>Hakko</t>
        </is>
      </c>
      <c r="E23" s="10" t="n">
        <v>1</v>
      </c>
      <c r="F23" s="13" t="n">
        <v>199</v>
      </c>
      <c r="G23" s="13" t="n">
        <v>199</v>
      </c>
      <c r="H23" s="11" t="inlineStr">
        <is>
          <t>5 dias</t>
        </is>
      </c>
      <c r="I23" s="14" t="inlineStr">
        <is>
          <t>Alta</t>
        </is>
      </c>
      <c r="J23" s="12" t="inlineStr">
        <is>
          <t>Rework SMD. Cambio de componentes en prototipos.</t>
        </is>
      </c>
    </row>
    <row r="24" ht="32" customHeight="1">
      <c r="A24" s="5" t="n">
        <v>5</v>
      </c>
      <c r="B24" s="6" t="inlineStr">
        <is>
          <t>LAB</t>
        </is>
      </c>
      <c r="C24" s="7" t="inlineStr">
        <is>
          <t>Microscopio digital 4K USB — Andonstar AD407</t>
        </is>
      </c>
      <c r="D24" s="6" t="inlineStr">
        <is>
          <t>Amazon</t>
        </is>
      </c>
      <c r="E24" s="5" t="n">
        <v>1</v>
      </c>
      <c r="F24" s="8" t="n">
        <v>189</v>
      </c>
      <c r="G24" s="8" t="n">
        <v>189</v>
      </c>
      <c r="H24" s="6" t="inlineStr">
        <is>
          <t>3-5 dias</t>
        </is>
      </c>
      <c r="I24" s="14" t="inlineStr">
        <is>
          <t>Alta</t>
        </is>
      </c>
      <c r="J24" s="7" t="inlineStr">
        <is>
          <t>Inspeccion visual de soldaduras, shorts, BGA, pads.</t>
        </is>
      </c>
    </row>
    <row r="25" ht="32" customHeight="1">
      <c r="A25" s="10" t="n">
        <v>6</v>
      </c>
      <c r="B25" s="11" t="inlineStr">
        <is>
          <t>LAB</t>
        </is>
      </c>
      <c r="C25" s="12" t="inlineStr">
        <is>
          <t>Fuente de poder DC — Korad KA3005P 0-30V 5A</t>
        </is>
      </c>
      <c r="D25" s="11" t="inlineStr">
        <is>
          <t>Amazon</t>
        </is>
      </c>
      <c r="E25" s="10" t="n">
        <v>1</v>
      </c>
      <c r="F25" s="13" t="n">
        <v>79</v>
      </c>
      <c r="G25" s="13" t="n">
        <v>79</v>
      </c>
      <c r="H25" s="11" t="inlineStr">
        <is>
          <t>3-5 dias</t>
        </is>
      </c>
      <c r="I25" s="14" t="inlineStr">
        <is>
          <t>Alta</t>
        </is>
      </c>
      <c r="J25" s="12" t="inlineStr">
        <is>
          <t>Alimentacion de board en bench sin USB. Medicion de corriente.</t>
        </is>
      </c>
    </row>
    <row r="26" ht="32" customHeight="1">
      <c r="A26" s="5" t="n">
        <v>7</v>
      </c>
      <c r="B26" s="6" t="inlineStr">
        <is>
          <t>LAB</t>
        </is>
      </c>
      <c r="C26" s="7" t="inlineStr">
        <is>
          <t>Consumibles: estaño, flux, Kapton, pinzas ESD</t>
        </is>
      </c>
      <c r="D26" s="6" t="inlineStr">
        <is>
          <t>Local / Amazon</t>
        </is>
      </c>
      <c r="E26" s="5" t="n">
        <v>1</v>
      </c>
      <c r="F26" s="8" t="n">
        <v>65</v>
      </c>
      <c r="G26" s="8" t="n">
        <v>65</v>
      </c>
      <c r="H26" s="6" t="inlineStr">
        <is>
          <t>Inmediato</t>
        </is>
      </c>
      <c r="I26" s="15" t="inlineStr">
        <is>
          <t>Media</t>
        </is>
      </c>
      <c r="J26" s="7" t="inlineStr">
        <is>
          <t>Kit completo para trabajo SMD en laboratorio.</t>
        </is>
      </c>
    </row>
    <row r="27" ht="18" customHeight="1">
      <c r="A27" s="4" t="inlineStr">
        <is>
          <t>SOFTWARE Y PROGRAMADORES</t>
        </is>
      </c>
    </row>
    <row r="28" ht="32" customHeight="1">
      <c r="A28" s="5" t="n">
        <v>1</v>
      </c>
      <c r="B28" s="6" t="inlineStr">
        <is>
          <t>SOFT</t>
        </is>
      </c>
      <c r="C28" s="7" t="inlineStr">
        <is>
          <t>Programador JTAG Digilent JTAG-HS3 (FPGA Artix-7)</t>
        </is>
      </c>
      <c r="D28" s="6" t="inlineStr">
        <is>
          <t>Digilent</t>
        </is>
      </c>
      <c r="E28" s="5" t="n">
        <v>1</v>
      </c>
      <c r="F28" s="8" t="n">
        <v>59</v>
      </c>
      <c r="G28" s="8" t="n">
        <v>59</v>
      </c>
      <c r="H28" s="6" t="inlineStr">
        <is>
          <t>5-7 dias</t>
        </is>
      </c>
      <c r="I28" s="9" t="inlineStr">
        <is>
          <t>Critica</t>
        </is>
      </c>
      <c r="J28" s="7" t="inlineStr">
        <is>
          <t>USB JTAG para programar y depurar Artix-7 LX200T. Compatibe con Vivado.</t>
        </is>
      </c>
    </row>
    <row r="29" ht="32" customHeight="1">
      <c r="A29" s="10" t="n">
        <v>2</v>
      </c>
      <c r="B29" s="11" t="inlineStr">
        <is>
          <t>SOFT</t>
        </is>
      </c>
      <c r="C29" s="12" t="inlineStr">
        <is>
          <t>ST-LINK V3 — programador/depurador STM32</t>
        </is>
      </c>
      <c r="D29" s="11" t="inlineStr">
        <is>
          <t>STMicroelectronics</t>
        </is>
      </c>
      <c r="E29" s="10" t="n">
        <v>1</v>
      </c>
      <c r="F29" s="13" t="n">
        <v>18</v>
      </c>
      <c r="G29" s="13" t="n">
        <v>18</v>
      </c>
      <c r="H29" s="11" t="inlineStr">
        <is>
          <t>5-7 dias</t>
        </is>
      </c>
      <c r="I29" s="9" t="inlineStr">
        <is>
          <t>Critica</t>
        </is>
      </c>
      <c r="J29" s="12" t="inlineStr">
        <is>
          <t>SWD + UART. Para flashing y debugging del STM32F405.</t>
        </is>
      </c>
    </row>
    <row r="30" ht="32" customHeight="1">
      <c r="A30" s="5" t="n">
        <v>3</v>
      </c>
      <c r="B30" s="6" t="inlineStr">
        <is>
          <t>SOFT</t>
        </is>
      </c>
      <c r="C30" s="7" t="inlineStr">
        <is>
          <t>Vivado Design Suite WebPACK (licencia gratuita)</t>
        </is>
      </c>
      <c r="D30" s="6" t="inlineStr">
        <is>
          <t>AMD / Xilinx</t>
        </is>
      </c>
      <c r="E30" s="5" t="n">
        <v>1</v>
      </c>
      <c r="F30" s="8" t="n">
        <v>0</v>
      </c>
      <c r="G30" s="8" t="n">
        <v>0</v>
      </c>
      <c r="H30" s="6" t="inlineStr">
        <is>
          <t>Inmediato</t>
        </is>
      </c>
      <c r="I30" s="9" t="inlineStr">
        <is>
          <t>Critica</t>
        </is>
      </c>
      <c r="J30" s="7" t="inlineStr">
        <is>
          <t>Gratis para Artix-7. Sintesis + implementacion + simulacion.</t>
        </is>
      </c>
    </row>
    <row r="31" ht="32" customHeight="1">
      <c r="A31" s="10" t="n">
        <v>4</v>
      </c>
      <c r="B31" s="11" t="inlineStr">
        <is>
          <t>SOFT</t>
        </is>
      </c>
      <c r="C31" s="12" t="inlineStr">
        <is>
          <t>STM32CubeIDE (licencia gratuita)</t>
        </is>
      </c>
      <c r="D31" s="11" t="inlineStr">
        <is>
          <t>STMicroelectronics</t>
        </is>
      </c>
      <c r="E31" s="10" t="n">
        <v>1</v>
      </c>
      <c r="F31" s="13" t="n">
        <v>0</v>
      </c>
      <c r="G31" s="13" t="n">
        <v>0</v>
      </c>
      <c r="H31" s="11" t="inlineStr">
        <is>
          <t>Inmediato</t>
        </is>
      </c>
      <c r="I31" s="14" t="inlineStr">
        <is>
          <t>Alta</t>
        </is>
      </c>
      <c r="J31" s="12" t="inlineStr">
        <is>
          <t>IDE oficial STM32. Debugging SWD incluido.</t>
        </is>
      </c>
    </row>
    <row r="32" ht="18" customHeight="1">
      <c r="A32" s="4" t="inlineStr">
        <is>
          <t>LOGISTICA Y DESPACHO</t>
        </is>
      </c>
    </row>
    <row r="33" ht="32" customHeight="1">
      <c r="A33" s="5" t="n">
        <v>1</v>
      </c>
      <c r="B33" s="6" t="inlineStr">
        <is>
          <t>LOG</t>
        </is>
      </c>
      <c r="C33" s="7" t="inlineStr">
        <is>
          <t>DHL Express — Shenzhen a Montevideo (paquete prototipo)</t>
        </is>
      </c>
      <c r="D33" s="6" t="inlineStr">
        <is>
          <t>DHL Express</t>
        </is>
      </c>
      <c r="E33" s="5" t="n">
        <v>1</v>
      </c>
      <c r="F33" s="8" t="n">
        <v>310</v>
      </c>
      <c r="G33" s="8" t="n">
        <v>310</v>
      </c>
      <c r="H33" s="6" t="inlineStr">
        <is>
          <t>3-5 dias</t>
        </is>
      </c>
      <c r="I33" s="14" t="inlineStr">
        <is>
          <t>Alta</t>
        </is>
      </c>
      <c r="J33" s="7" t="inlineStr">
        <is>
          <t>PCB + PCBA + carcasas. Estimado ~3 kg. Trazable. Seguro basico.</t>
        </is>
      </c>
    </row>
    <row r="34" ht="32" customHeight="1">
      <c r="A34" s="10" t="n">
        <v>2</v>
      </c>
      <c r="B34" s="11" t="inlineStr">
        <is>
          <t>LOG</t>
        </is>
      </c>
      <c r="C34" s="12" t="inlineStr">
        <is>
          <t>Impuestos de importacion estimados (Uruguay DGA)</t>
        </is>
      </c>
      <c r="D34" s="11" t="inlineStr">
        <is>
          <t>DGA Uruguay</t>
        </is>
      </c>
      <c r="E34" s="10" t="n">
        <v>1</v>
      </c>
      <c r="F34" s="13" t="n">
        <v>380</v>
      </c>
      <c r="G34" s="13" t="n">
        <v>380</v>
      </c>
      <c r="H34" s="11" t="inlineStr">
        <is>
          <t>N/A</t>
        </is>
      </c>
      <c r="I34" s="17" t="inlineStr">
        <is>
          <t>Obligatoria</t>
        </is>
      </c>
      <c r="J34" s="12" t="inlineStr">
        <is>
          <t>Estimado 20-35% sobre valor declarado. Variable. Puede reducirse con regimen courier.</t>
        </is>
      </c>
    </row>
    <row r="35" ht="18" customHeight="1">
      <c r="A35" s="4" t="inlineStr">
        <is>
          <t>UTILES DE TESTING Y CONTINGENCIA</t>
        </is>
      </c>
    </row>
    <row r="36" ht="32" customHeight="1">
      <c r="A36" s="5" t="n">
        <v>1</v>
      </c>
      <c r="B36" s="6" t="inlineStr">
        <is>
          <t>TEST</t>
        </is>
      </c>
      <c r="C36" s="7" t="inlineStr">
        <is>
          <t>Fixture de prueba — PCB con pogo pins (1 unidad)</t>
        </is>
      </c>
      <c r="D36" s="6" t="inlineStr">
        <is>
          <t>JLCPCB</t>
        </is>
      </c>
      <c r="E36" s="5" t="n">
        <v>1</v>
      </c>
      <c r="F36" s="8" t="n">
        <v>130</v>
      </c>
      <c r="G36" s="8" t="n">
        <v>130</v>
      </c>
      <c r="H36" s="6" t="inlineStr">
        <is>
          <t>7-10 dias</t>
        </is>
      </c>
      <c r="I36" s="14" t="inlineStr">
        <is>
          <t>Alta</t>
        </is>
      </c>
      <c r="J36" s="7" t="inlineStr">
        <is>
          <t>Test jig para verificar continuidad de todos los pads de test y JTAG.</t>
        </is>
      </c>
    </row>
    <row r="37" ht="32" customHeight="1">
      <c r="A37" s="10" t="n">
        <v>2</v>
      </c>
      <c r="B37" s="11" t="inlineStr">
        <is>
          <t>TEST</t>
        </is>
      </c>
      <c r="C37" s="12" t="inlineStr">
        <is>
          <t>Contingencia — 10% sobre subtotal</t>
        </is>
      </c>
      <c r="D37" s="11" t="inlineStr">
        <is>
          <t>—</t>
        </is>
      </c>
      <c r="E37" s="10" t="n">
        <v>1</v>
      </c>
      <c r="F37" s="11" t="inlineStr">
        <is>
          <t>10% contingencia</t>
        </is>
      </c>
      <c r="G37" s="18">
        <f>SUM(G4:G36)*0.10</f>
        <v/>
      </c>
      <c r="H37" s="11" t="inlineStr">
        <is>
          <t>—</t>
        </is>
      </c>
      <c r="I37" s="19" t="inlineStr">
        <is>
          <t>Siempre</t>
        </is>
      </c>
      <c r="J37" s="12" t="inlineStr">
        <is>
          <t>Retrabajos, componentes danados, re-pedidos, errores de diseno menores.</t>
        </is>
      </c>
    </row>
    <row r="39" ht="26" customHeight="1">
      <c r="A39" s="20" t="inlineStr">
        <is>
          <t>TOTAL INVERSION EN PROTOTIPADO (5 UNIDADES + EQUIPAMIENTO)</t>
        </is>
      </c>
      <c r="G39" s="21">
        <f>SUM(G4:G37)</f>
        <v/>
      </c>
      <c r="H39" s="22" t="n"/>
      <c r="I39" s="22" t="n"/>
      <c r="J39" s="22" t="n"/>
    </row>
    <row r="40" ht="18" customHeight="1">
      <c r="A40" s="23" t="inlineStr">
        <is>
          <t>El equipamiento de laboratorio (osciloscopio, analizador logico, fuente, etc.) es una inversion unica que se amortiza en todos los proyectos futuros del taller.</t>
        </is>
      </c>
    </row>
    <row r="41" ht="18" customHeight="1">
      <c r="A41" s="23" t="inlineStr">
        <is>
          <t>La importacion a Uruguay es estimada. Puede reducirse declarando bajo el regimen de envios de bajo valor o utilizando un courier personal.</t>
        </is>
      </c>
    </row>
    <row r="42" ht="18" customHeight="1">
      <c r="A42" s="23" t="inlineStr">
        <is>
          <t>Vivado WebPACK y STM32CubeIDE son licencias gratuitas. El costo de desarrollo de LLVM/rustc fork es interno al taller.</t>
        </is>
      </c>
    </row>
  </sheetData>
  <mergeCells count="15">
    <mergeCell ref="A1:J1"/>
    <mergeCell ref="A32:J32"/>
    <mergeCell ref="A14:J14"/>
    <mergeCell ref="A16:J16"/>
    <mergeCell ref="A9:J9"/>
    <mergeCell ref="A27:J27"/>
    <mergeCell ref="A40:J40"/>
    <mergeCell ref="A35:J35"/>
    <mergeCell ref="A4:J4"/>
    <mergeCell ref="A7:J7"/>
    <mergeCell ref="A2:J2"/>
    <mergeCell ref="A39:F39"/>
    <mergeCell ref="A42:J42"/>
    <mergeCell ref="A41:J41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3" customWidth="1" min="4" max="4"/>
    <col width="20" customWidth="1" min="5" max="5"/>
    <col width="46" customWidth="1" min="6" max="6"/>
    <col width="14" customWidth="1" min="7" max="7"/>
  </cols>
  <sheetData>
    <row r="1" ht="30" customHeight="1">
      <c r="A1" s="1" t="inlineStr">
        <is>
          <t>LITHOS WORKSHOP — PULSAR · TIMELINE: ROUTING → PROTOTIPO → PRODUCCION</t>
        </is>
      </c>
    </row>
    <row r="2" ht="14" customHeight="1">
      <c r="A2" s="2" t="inlineStr">
        <is>
          <t>Fecha de referencia: 20 de mayo de 2026. Emiliano finaliza routing: 15 de junio de 2026.</t>
        </is>
      </c>
    </row>
    <row r="3" ht="20" customHeight="1">
      <c r="A3" s="3" t="inlineStr">
        <is>
          <t>Fase</t>
        </is>
      </c>
      <c r="B3" s="3" t="inlineStr">
        <is>
          <t>Inicio</t>
        </is>
      </c>
      <c r="C3" s="3" t="inlineStr">
        <is>
          <t>Fin</t>
        </is>
      </c>
      <c r="D3" s="3" t="inlineStr">
        <is>
          <t>Duracion</t>
        </is>
      </c>
      <c r="E3" s="3" t="inlineStr">
        <is>
          <t>Responsable</t>
        </is>
      </c>
      <c r="F3" s="3" t="inlineStr">
        <is>
          <t>Hito de Cierre</t>
        </is>
      </c>
      <c r="G3" s="3" t="inlineStr">
        <is>
          <t>Estado</t>
        </is>
      </c>
    </row>
    <row r="4" ht="28" customHeight="1">
      <c r="A4" s="12" t="inlineStr">
        <is>
          <t>Ruteo PCB — 556 conexiones (Emiliano)</t>
        </is>
      </c>
      <c r="B4" s="11" t="inlineStr">
        <is>
          <t>20 may 2026</t>
        </is>
      </c>
      <c r="C4" s="11" t="inlineStr">
        <is>
          <t>15 jun 2026</t>
        </is>
      </c>
      <c r="D4" s="11" t="inlineStr">
        <is>
          <t>26 dias</t>
        </is>
      </c>
      <c r="E4" s="11" t="inlineStr">
        <is>
          <t>Emiliano</t>
        </is>
      </c>
      <c r="F4" s="12" t="inlineStr">
        <is>
          <t>KiCad: DRC 0 errores reales, 556 conexiones ruteadas.</t>
        </is>
      </c>
      <c r="G4" s="24" t="inlineStr">
        <is>
          <t>En curso</t>
        </is>
      </c>
    </row>
    <row r="5" ht="28" customHeight="1">
      <c r="A5" s="7" t="inlineStr">
        <is>
          <t>Revision Gerber + DFM check JLCPCB</t>
        </is>
      </c>
      <c r="B5" s="6" t="inlineStr">
        <is>
          <t>15 jun 2026</t>
        </is>
      </c>
      <c r="C5" s="6" t="inlineStr">
        <is>
          <t>20 jun 2026</t>
        </is>
      </c>
      <c r="D5" s="6" t="inlineStr">
        <is>
          <t>5 dias</t>
        </is>
      </c>
      <c r="E5" s="6" t="inlineStr">
        <is>
          <t>LITHOS Workshop</t>
        </is>
      </c>
      <c r="F5" s="7" t="inlineStr">
        <is>
          <t>Archivos Gerber exportados. BOM completo. DFM aprobado.</t>
        </is>
      </c>
      <c r="G5" s="14" t="inlineStr">
        <is>
          <t>Pendiente</t>
        </is>
      </c>
    </row>
    <row r="6" ht="28" customHeight="1">
      <c r="A6" s="12" t="inlineStr">
        <is>
          <t>Orden PCB 16L + PCBA en JLCPCB</t>
        </is>
      </c>
      <c r="B6" s="11" t="inlineStr">
        <is>
          <t>20 jun 2026</t>
        </is>
      </c>
      <c r="C6" s="11" t="inlineStr">
        <is>
          <t>10 jul 2026</t>
        </is>
      </c>
      <c r="D6" s="11" t="inlineStr">
        <is>
          <t>20 dias</t>
        </is>
      </c>
      <c r="E6" s="11" t="inlineStr">
        <is>
          <t>JLCPCB</t>
        </is>
      </c>
      <c r="F6" s="12" t="inlineStr">
        <is>
          <t>5 PCBAs ensambladas con BOM completo. QC passed.</t>
        </is>
      </c>
      <c r="G6" s="14" t="inlineStr">
        <is>
          <t>Pendiente</t>
        </is>
      </c>
    </row>
    <row r="7" ht="28" customHeight="1">
      <c r="A7" s="7" t="inlineStr">
        <is>
          <t>Orden carcasas CNC aluminio 6061-T6 en JLCCNC</t>
        </is>
      </c>
      <c r="B7" s="6" t="inlineStr">
        <is>
          <t>20 jun 2026</t>
        </is>
      </c>
      <c r="C7" s="6" t="inlineStr">
        <is>
          <t>3 jul 2026</t>
        </is>
      </c>
      <c r="D7" s="6" t="inlineStr">
        <is>
          <t>13 dias</t>
        </is>
      </c>
      <c r="E7" s="6" t="inlineStr">
        <is>
          <t>JLCCNC</t>
        </is>
      </c>
      <c r="F7" s="7" t="inlineStr">
        <is>
          <t>5 sets (top + bottom). Hard anodize negro. Dimensiones OK.</t>
        </is>
      </c>
      <c r="G7" s="14" t="inlineStr">
        <is>
          <t>Pendiente</t>
        </is>
      </c>
    </row>
    <row r="8" ht="28" customHeight="1">
      <c r="A8" s="12" t="inlineStr">
        <is>
          <t>Envio DHL Express Shenzhen a Montevideo</t>
        </is>
      </c>
      <c r="B8" s="11" t="inlineStr">
        <is>
          <t>10 jul 2026</t>
        </is>
      </c>
      <c r="C8" s="11" t="inlineStr">
        <is>
          <t>16 jul 2026</t>
        </is>
      </c>
      <c r="D8" s="11" t="inlineStr">
        <is>
          <t>6 dias</t>
        </is>
      </c>
      <c r="E8" s="11" t="inlineStr">
        <is>
          <t>DHL Express</t>
        </is>
      </c>
      <c r="F8" s="12" t="inlineStr">
        <is>
          <t>Paquete recibido en Montevideo con PCBAs + carcasas.</t>
        </is>
      </c>
      <c r="G8" s="14" t="inlineStr">
        <is>
          <t>Pendiente</t>
        </is>
      </c>
    </row>
    <row r="9" ht="28" customHeight="1">
      <c r="A9" s="7" t="inlineStr">
        <is>
          <t>Instalacion y calibracion de equipamiento de lab</t>
        </is>
      </c>
      <c r="B9" s="6" t="inlineStr">
        <is>
          <t>16 jul 2026</t>
        </is>
      </c>
      <c r="C9" s="6" t="inlineStr">
        <is>
          <t>21 jul 2026</t>
        </is>
      </c>
      <c r="D9" s="6" t="inlineStr">
        <is>
          <t>5 dias</t>
        </is>
      </c>
      <c r="E9" s="6" t="inlineStr">
        <is>
          <t>LITHOS Workshop</t>
        </is>
      </c>
      <c r="F9" s="7" t="inlineStr">
        <is>
          <t>Osciloscopio, Saleae, ST-LINK, JTAG-HS3 calibrados y verificados.</t>
        </is>
      </c>
      <c r="G9" s="14" t="inlineStr">
        <is>
          <t>Pendiente</t>
        </is>
      </c>
    </row>
    <row r="10" ht="28" customHeight="1">
      <c r="A10" s="12" t="inlineStr">
        <is>
          <t>Ensamble prototipo #1 — primera unidad completa</t>
        </is>
      </c>
      <c r="B10" s="11" t="inlineStr">
        <is>
          <t>21 jul 2026</t>
        </is>
      </c>
      <c r="C10" s="11" t="inlineStr">
        <is>
          <t>26 jul 2026</t>
        </is>
      </c>
      <c r="D10" s="11" t="inlineStr">
        <is>
          <t>5 dias</t>
        </is>
      </c>
      <c r="E10" s="11" t="inlineStr">
        <is>
          <t>LITHOS Workshop</t>
        </is>
      </c>
      <c r="F10" s="12" t="inlineStr">
        <is>
          <t>Unidad ensamblada. Firmware flasheado. Primer encendido.</t>
        </is>
      </c>
      <c r="G10" s="14" t="inlineStr">
        <is>
          <t>Pendiente</t>
        </is>
      </c>
    </row>
    <row r="11" ht="28" customHeight="1">
      <c r="A11" s="7" t="inlineStr">
        <is>
          <t>Testing de rails de potencia y consumo</t>
        </is>
      </c>
      <c r="B11" s="6" t="inlineStr">
        <is>
          <t>26 jul 2026</t>
        </is>
      </c>
      <c r="C11" s="6" t="inlineStr">
        <is>
          <t>28 jul 2026</t>
        </is>
      </c>
      <c r="D11" s="6" t="inlineStr">
        <is>
          <t>2 dias</t>
        </is>
      </c>
      <c r="E11" s="6" t="inlineStr">
        <is>
          <t>LITHOS Workshop</t>
        </is>
      </c>
      <c r="F11" s="7" t="inlineStr">
        <is>
          <t>+1V0, +1V8, +3V3, VBUS dentro de especificacion. Consumo &lt; 500 mA.</t>
        </is>
      </c>
      <c r="G11" s="14" t="inlineStr">
        <is>
          <t>Pendiente</t>
        </is>
      </c>
    </row>
    <row r="12" ht="28" customHeight="1">
      <c r="A12" s="12" t="inlineStr">
        <is>
          <t>Testing FPGA — sintesis, carga de gateware y CPU</t>
        </is>
      </c>
      <c r="B12" s="11" t="inlineStr">
        <is>
          <t>28 jul 2026</t>
        </is>
      </c>
      <c r="C12" s="11" t="inlineStr">
        <is>
          <t>1 ago 2026</t>
        </is>
      </c>
      <c r="D12" s="11" t="inlineStr">
        <is>
          <t>4 dias</t>
        </is>
      </c>
      <c r="E12" s="11" t="inlineStr">
        <is>
          <t>LITHOS Workshop</t>
        </is>
      </c>
      <c r="F12" s="12" t="inlineStr">
        <is>
          <t>Artix-7 funcional. LX32K ejecutando instrucciones. closure-proof: pass.</t>
        </is>
      </c>
      <c r="G12" s="14" t="inlineStr">
        <is>
          <t>Pendiente</t>
        </is>
      </c>
    </row>
    <row r="13" ht="28" customHeight="1">
      <c r="A13" s="7" t="inlineStr">
        <is>
          <t>Testing sensores Hall + ADC (64 canales)</t>
        </is>
      </c>
      <c r="B13" s="6" t="inlineStr">
        <is>
          <t>1 ago 2026</t>
        </is>
      </c>
      <c r="C13" s="6" t="inlineStr">
        <is>
          <t>5 ago 2026</t>
        </is>
      </c>
      <c r="D13" s="6" t="inlineStr">
        <is>
          <t>4 dias</t>
        </is>
      </c>
      <c r="E13" s="6" t="inlineStr">
        <is>
          <t>LITHOS Workshop</t>
        </is>
      </c>
      <c r="F13" s="7" t="inlineStr">
        <is>
          <t>64 sensores calibrados. Linealidad verificada con osciloscopio.</t>
        </is>
      </c>
      <c r="G13" s="14" t="inlineStr">
        <is>
          <t>Pendiente</t>
        </is>
      </c>
    </row>
    <row r="14" ht="28" customHeight="1">
      <c r="A14" s="12" t="inlineStr">
        <is>
          <t>Testing USB HID + FIDO2</t>
        </is>
      </c>
      <c r="B14" s="11" t="inlineStr">
        <is>
          <t>5 ago 2026</t>
        </is>
      </c>
      <c r="C14" s="11" t="inlineStr">
        <is>
          <t>8 ago 2026</t>
        </is>
      </c>
      <c r="D14" s="11" t="inlineStr">
        <is>
          <t>3 dias</t>
        </is>
      </c>
      <c r="E14" s="11" t="inlineStr">
        <is>
          <t>LITHOS Workshop</t>
        </is>
      </c>
      <c r="F14" s="12" t="inlineStr">
        <is>
          <t>Reconocido como HID. FIDO2 enrollment exitoso. N-KRO confirmado.</t>
        </is>
      </c>
      <c r="G14" s="14" t="inlineStr">
        <is>
          <t>Pendiente</t>
        </is>
      </c>
    </row>
    <row r="15" ht="28" customHeight="1">
      <c r="A15" s="7" t="inlineStr">
        <is>
          <t>Medicion de latencia — hardware scan &lt; 130 us</t>
        </is>
      </c>
      <c r="B15" s="6" t="inlineStr">
        <is>
          <t>8 ago 2026</t>
        </is>
      </c>
      <c r="C15" s="6" t="inlineStr">
        <is>
          <t>10 ago 2026</t>
        </is>
      </c>
      <c r="D15" s="6" t="inlineStr">
        <is>
          <t>2 dias</t>
        </is>
      </c>
      <c r="E15" s="6" t="inlineStr">
        <is>
          <t>LITHOS Workshop</t>
        </is>
      </c>
      <c r="F15" s="7" t="inlineStr">
        <is>
          <t>hardware_scan: 64 ciclos / 6250 = 1.02% microframe. Medido.</t>
        </is>
      </c>
      <c r="G15" s="14" t="inlineStr">
        <is>
          <t>Pendiente</t>
        </is>
      </c>
    </row>
    <row r="16" ht="28" customHeight="1">
      <c r="A16" s="12" t="inlineStr">
        <is>
          <t>Correccion de bugs y posible re-spin parcial</t>
        </is>
      </c>
      <c r="B16" s="11" t="inlineStr">
        <is>
          <t>10 ago 2026</t>
        </is>
      </c>
      <c r="C16" s="11" t="inlineStr">
        <is>
          <t>28 ago 2026</t>
        </is>
      </c>
      <c r="D16" s="11" t="inlineStr">
        <is>
          <t>18 dias</t>
        </is>
      </c>
      <c r="E16" s="11" t="inlineStr">
        <is>
          <t>LITHOS Workshop</t>
        </is>
      </c>
      <c r="F16" s="12" t="inlineStr">
        <is>
          <t>Buffer para ajustes de layout o firmware. No obligatorio.</t>
        </is>
      </c>
      <c r="G16" s="14" t="inlineStr">
        <is>
          <t>Pendiente</t>
        </is>
      </c>
    </row>
    <row r="17" ht="28" customHeight="1">
      <c r="A17" s="7" t="inlineStr">
        <is>
          <t>Validacion cruzada — prototipos #2 a #5</t>
        </is>
      </c>
      <c r="B17" s="6" t="inlineStr">
        <is>
          <t>28 ago 2026</t>
        </is>
      </c>
      <c r="C17" s="6" t="inlineStr">
        <is>
          <t>18 sep 2026</t>
        </is>
      </c>
      <c r="D17" s="6" t="inlineStr">
        <is>
          <t>21 dias</t>
        </is>
      </c>
      <c r="E17" s="6" t="inlineStr">
        <is>
          <t>LITHOS Workshop</t>
        </is>
      </c>
      <c r="F17" s="7" t="inlineStr">
        <is>
          <t>5 unidades funcionando. Performance documentada. Firma en board.</t>
        </is>
      </c>
      <c r="G17" s="14" t="inlineStr">
        <is>
          <t>Pendiente</t>
        </is>
      </c>
    </row>
    <row r="18" ht="28" customHeight="1">
      <c r="A18" s="12" t="inlineStr">
        <is>
          <t>Produccion de video tecnico y material de prensa</t>
        </is>
      </c>
      <c r="B18" s="11" t="inlineStr">
        <is>
          <t>18 sep 2026</t>
        </is>
      </c>
      <c r="C18" s="11" t="inlineStr">
        <is>
          <t>28 sep 2026</t>
        </is>
      </c>
      <c r="D18" s="11" t="inlineStr">
        <is>
          <t>10 dias</t>
        </is>
      </c>
      <c r="E18" s="11" t="inlineStr">
        <is>
          <t>LITHOS Workshop</t>
        </is>
      </c>
      <c r="F18" s="12" t="inlineStr">
        <is>
          <t>Demo en video. Especificaciones publicadas. Pagina actualizada.</t>
        </is>
      </c>
      <c r="G18" s="14" t="inlineStr">
        <is>
          <t>Pendiente</t>
        </is>
      </c>
    </row>
    <row r="19" ht="28" customHeight="1">
      <c r="A19" s="7" t="inlineStr">
        <is>
          <t>Apertura de reservas — $200 USD (50 objetivo)</t>
        </is>
      </c>
      <c r="B19" s="6" t="inlineStr">
        <is>
          <t>28 sep 2026</t>
        </is>
      </c>
      <c r="C19" s="6" t="inlineStr">
        <is>
          <t>15 nov 2026</t>
        </is>
      </c>
      <c r="D19" s="6" t="inlineStr">
        <is>
          <t>48 dias</t>
        </is>
      </c>
      <c r="E19" s="6" t="inlineStr">
        <is>
          <t>LITHOS Workshop</t>
        </is>
      </c>
      <c r="F19" s="7" t="inlineStr">
        <is>
          <t>50 reservas = $10,000 pre-financiamiento. Numero en board asignado.</t>
        </is>
      </c>
      <c r="G19" s="14" t="inlineStr">
        <is>
          <t>Pendiente</t>
        </is>
      </c>
    </row>
    <row r="20" ht="28" customHeight="1">
      <c r="A20" s="12" t="inlineStr">
        <is>
          <t>Orden lote de produccion — 100 unidades</t>
        </is>
      </c>
      <c r="B20" s="11" t="inlineStr">
        <is>
          <t>1 dic 2026</t>
        </is>
      </c>
      <c r="C20" s="11" t="inlineStr">
        <is>
          <t>1 ene 2027</t>
        </is>
      </c>
      <c r="D20" s="11" t="inlineStr">
        <is>
          <t>31 dias</t>
        </is>
      </c>
      <c r="E20" s="11" t="inlineStr">
        <is>
          <t>JLCPCB + JLCCNC</t>
        </is>
      </c>
      <c r="F20" s="12" t="inlineStr">
        <is>
          <t>PCB + PCBA + CNC 100 unidades confirmadas.</t>
        </is>
      </c>
      <c r="G20" s="14" t="inlineStr">
        <is>
          <t>Pendiente</t>
        </is>
      </c>
    </row>
    <row r="21" ht="28" customHeight="1">
      <c r="A21" s="7" t="inlineStr">
        <is>
          <t>Entrega primer lote a clientes</t>
        </is>
      </c>
      <c r="B21" s="6" t="inlineStr">
        <is>
          <t>15 ene 2027</t>
        </is>
      </c>
      <c r="C21" s="6" t="inlineStr">
        <is>
          <t>31 ene 2027</t>
        </is>
      </c>
      <c r="D21" s="6" t="inlineStr">
        <is>
          <t>16 dias</t>
        </is>
      </c>
      <c r="E21" s="6" t="inlineStr">
        <is>
          <t>DHL Express</t>
        </is>
      </c>
      <c r="F21" s="7" t="inlineStr">
        <is>
          <t>Primeras 50+ unidades entregadas. Edicion 1 de 120.</t>
        </is>
      </c>
      <c r="G21" s="14" t="inlineStr">
        <is>
          <t>Pendiente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44" customWidth="1" min="4" max="4"/>
  </cols>
  <sheetData>
    <row r="1" ht="28" customHeight="1">
      <c r="A1" s="25" t="inlineStr">
        <is>
          <t>LITHOS WORKSHOP — PULSAR · RESUMEN: INVERSION HASTA PRIMERA VENTA</t>
        </is>
      </c>
    </row>
    <row r="2" ht="20" customHeight="1">
      <c r="A2" s="3" t="inlineStr">
        <is>
          <t>Categoria</t>
        </is>
      </c>
      <c r="B2" s="3" t="inlineStr">
        <is>
          <t>USD Estimado</t>
        </is>
      </c>
      <c r="C2" s="3" t="inlineStr">
        <is>
          <t>Porcentaje</t>
        </is>
      </c>
      <c r="D2" s="3" t="inlineStr">
        <is>
          <t>Observacion</t>
        </is>
      </c>
    </row>
    <row r="3" ht="22" customHeight="1">
      <c r="A3" s="11" t="inlineStr">
        <is>
          <t>PCB 16 capas + PCBA (5 unidades)</t>
        </is>
      </c>
      <c r="B3" s="18" t="n">
        <v>1050</v>
      </c>
      <c r="C3" s="26">
        <f>B3/SUM(B3:B13)</f>
        <v/>
      </c>
      <c r="D3" s="27" t="inlineStr">
        <is>
          <t>Costo mas significativo. Posible variacion en re-spin.</t>
        </is>
      </c>
    </row>
    <row r="4" ht="22" customHeight="1">
      <c r="A4" s="6" t="inlineStr">
        <is>
          <t>Componentes BOM completo (5 kits)</t>
        </is>
      </c>
      <c r="B4" s="28" t="n">
        <v>1400</v>
      </c>
      <c r="C4" s="29">
        <f>B4/SUM(B3:B13)</f>
        <v/>
      </c>
      <c r="D4" s="30" t="inlineStr">
        <is>
          <t>FPGA, STM32, ADC, Hall, FIDO2, SRAM, pasivos.</t>
        </is>
      </c>
    </row>
    <row r="5" ht="22" customHeight="1">
      <c r="A5" s="11" t="inlineStr">
        <is>
          <t>Carcasas CNC aluminio 6061-T6 (5 sets)</t>
        </is>
      </c>
      <c r="B5" s="18" t="n">
        <v>900</v>
      </c>
      <c r="C5" s="26">
        <f>B5/SUM(B3:B13)</f>
        <v/>
      </c>
      <c r="D5" s="27" t="inlineStr">
        <is>
          <t>Hard anodize incluido. Reutilizables en testing.</t>
        </is>
      </c>
    </row>
    <row r="6" ht="22" customHeight="1">
      <c r="A6" s="6" t="inlineStr">
        <is>
          <t>Keycaps PBT para prototipado (5 sets)</t>
        </is>
      </c>
      <c r="B6" s="28" t="n">
        <v>225</v>
      </c>
      <c r="C6" s="29">
        <f>B6/SUM(B3:B13)</f>
        <v/>
      </c>
      <c r="D6" s="30" t="inlineStr">
        <is>
          <t>Funcional. CeraKey exclusivo para produccion.</t>
        </is>
      </c>
    </row>
    <row r="7" ht="22" customHeight="1">
      <c r="A7" s="11" t="inlineStr">
        <is>
          <t>Mecanica adicional — gaskets, pesos, hardware</t>
        </is>
      </c>
      <c r="B7" s="18" t="n">
        <v>265</v>
      </c>
      <c r="C7" s="26">
        <f>B7/SUM(B3:B13)</f>
        <v/>
      </c>
      <c r="D7" s="27" t="inlineStr">
        <is>
          <t>Silicona Shore A40, SS304, tornilleria.</t>
        </is>
      </c>
    </row>
    <row r="8" ht="22" customHeight="1">
      <c r="A8" s="6" t="inlineStr">
        <is>
          <t>Equipamiento de laboratorio (inversion unica)</t>
        </is>
      </c>
      <c r="B8" s="28" t="n">
        <v>1321</v>
      </c>
      <c r="C8" s="29">
        <f>B8/SUM(B3:B13)</f>
        <v/>
      </c>
      <c r="D8" s="30" t="inlineStr">
        <is>
          <t>Osciloscopio + Analizador + Multimetro + Fuente + Estacion + Microscopio.</t>
        </is>
      </c>
    </row>
    <row r="9" ht="22" customHeight="1">
      <c r="A9" s="11" t="inlineStr">
        <is>
          <t>Software y programadores (JTAG + ST-LINK)</t>
        </is>
      </c>
      <c r="B9" s="18" t="n">
        <v>77</v>
      </c>
      <c r="C9" s="26">
        <f>B9/SUM(B3:B13)</f>
        <v/>
      </c>
      <c r="D9" s="27" t="inlineStr">
        <is>
          <t>Vivado WebPACK y STM32CubeIDE son gratuitos.</t>
        </is>
      </c>
    </row>
    <row r="10" ht="22" customHeight="1">
      <c r="A10" s="6" t="inlineStr">
        <is>
          <t>Logistica DHL + aduana Uruguay (estimado)</t>
        </is>
      </c>
      <c r="B10" s="28" t="n">
        <v>690</v>
      </c>
      <c r="C10" s="29">
        <f>B10/SUM(B3:B13)</f>
        <v/>
      </c>
      <c r="D10" s="30" t="inlineStr">
        <is>
          <t>Variable segun regimen aduanero aplicado.</t>
        </is>
      </c>
    </row>
    <row r="11" ht="22" customHeight="1">
      <c r="A11" s="11" t="inlineStr">
        <is>
          <t>Fixture de prueba con pogo pins</t>
        </is>
      </c>
      <c r="B11" s="18" t="n">
        <v>130</v>
      </c>
      <c r="C11" s="26">
        <f>B11/SUM(B3:B13)</f>
        <v/>
      </c>
      <c r="D11" s="27" t="inlineStr">
        <is>
          <t>Test jig para control de calidad por unidad.</t>
        </is>
      </c>
    </row>
    <row r="12" ht="22" customHeight="1">
      <c r="A12" s="6" t="inlineStr">
        <is>
          <t>Conectividad y consumibles de laboratorio</t>
        </is>
      </c>
      <c r="B12" s="28" t="n">
        <v>85</v>
      </c>
      <c r="C12" s="29">
        <f>B12/SUM(B3:B13)</f>
        <v/>
      </c>
      <c r="D12" s="30" t="inlineStr">
        <is>
          <t>Cables, JST, estano, flux, Kapton.</t>
        </is>
      </c>
    </row>
    <row r="13" ht="22" customHeight="1">
      <c r="A13" s="11" t="inlineStr">
        <is>
          <t>Contingencia 10%</t>
        </is>
      </c>
      <c r="B13" s="18">
        <f>SUM(B3:B12)*0.10</f>
        <v/>
      </c>
      <c r="C13" s="26">
        <f>B13/SUM(B3:B13)</f>
        <v/>
      </c>
      <c r="D13" s="27" t="inlineStr">
        <is>
          <t>Buffer para imprevistos, re-spin parcial, componentes danados.</t>
        </is>
      </c>
    </row>
    <row r="14" ht="26" customHeight="1">
      <c r="A14" s="31" t="inlineStr">
        <is>
          <t>TOTAL INVERSION ESTIMADA</t>
        </is>
      </c>
      <c r="B14" s="32">
        <f>SUM(B3:B13)</f>
        <v/>
      </c>
      <c r="C14" s="33" t="inlineStr">
        <is>
          <t>100%</t>
        </is>
      </c>
      <c r="D14" s="34" t="inlineStr">
        <is>
          <t>Inversion total antes del primer lote de produccion.</t>
        </is>
      </c>
    </row>
    <row r="16" ht="20" customHeight="1">
      <c r="A16" s="35" t="inlineStr">
        <is>
          <t>METRICAS DE RETORNO</t>
        </is>
      </c>
    </row>
    <row r="17" ht="20" customHeight="1">
      <c r="A17" s="11" t="inlineStr">
        <is>
          <t>Capital semilla recomendado (total x 1.30)</t>
        </is>
      </c>
      <c r="B17" s="36">
        <f>B14*1.30</f>
        <v/>
      </c>
      <c r="C17" s="27" t="inlineStr">
        <is>
          <t>Margen de 30% sobre estimacion base para imprevistos.</t>
        </is>
      </c>
    </row>
    <row r="18" ht="20" customHeight="1">
      <c r="A18" s="6" t="inlineStr">
        <is>
          <t>Ingresos brutos con 10 unidades vendidas (100u COGS)</t>
        </is>
      </c>
      <c r="B18" s="37">
        <f>(2900-1094)*10</f>
        <v/>
      </c>
      <c r="C18" s="30" t="inlineStr">
        <is>
          <t>Margen unitario x 10 unidades en escenario 100u.</t>
        </is>
      </c>
    </row>
    <row r="19" ht="20" customHeight="1">
      <c r="A19" s="11" t="inlineStr">
        <is>
          <t>Break-even sobre inversion total (unidades)</t>
        </is>
      </c>
      <c r="B19" s="36">
        <f>CEILING(B14/(2900-1094),1)</f>
        <v/>
      </c>
      <c r="C19" s="27" t="inlineStr">
        <is>
          <t>Unidades necesarias para recuperar inversion completa.</t>
        </is>
      </c>
    </row>
    <row r="20" ht="20" customHeight="1">
      <c r="A20" s="6" t="inlineStr">
        <is>
          <t>Margen bruto por unidad (100u, PBT keycaps)</t>
        </is>
      </c>
      <c r="B20" s="37">
        <f>2900-1094</f>
        <v/>
      </c>
      <c r="C20" s="30" t="inlineStr">
        <is>
          <t>Precio de venta menos COGS en lote de 100 unidades.</t>
        </is>
      </c>
    </row>
  </sheetData>
  <mergeCells count="6">
    <mergeCell ref="A1:D1"/>
    <mergeCell ref="C20:D20"/>
    <mergeCell ref="C19:D19"/>
    <mergeCell ref="A16:D16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2026-05-20T21:37:35Z</dcterms:created>
  <dcterms:modified xmlns:dcterms="http://purl.org/dc/terms/" xmlns:xsi="http://www.w3.org/2001/XMLSchema-instance" xsi:type="dcterms:W3CDTF">2026-05-20T21:37:35Z</dcterms:modified>
</cp:coreProperties>
</file>