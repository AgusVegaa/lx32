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 Fabricacion" sheetId="1" state="visible" r:id="rId1"/>
    <sheet xmlns:r="http://schemas.openxmlformats.org/officeDocument/2006/relationships" name="Directorio de Proveedores" sheetId="2" state="visible" r:id="rId2"/>
    <sheet xmlns:r="http://schemas.openxmlformats.org/officeDocument/2006/relationships" name="Costo por Un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E8E8E8"/>
      <sz val="9"/>
    </font>
    <font>
      <name val="Arial"/>
      <i val="1"/>
      <color rgb="004A4A4A"/>
      <sz val="8"/>
    </font>
    <font>
      <name val="Arial"/>
      <b val="1"/>
      <color rgb="00FFFFFF"/>
      <sz val="9"/>
    </font>
    <font>
      <name val="Arial"/>
      <color rgb="001A1A1A"/>
      <sz val="9"/>
    </font>
    <font>
      <name val="Arial"/>
      <color rgb="004A4A4A"/>
      <sz val="9"/>
    </font>
    <font>
      <name val="Arial"/>
      <b val="1"/>
      <color rgb="001A1A1A"/>
      <sz val="9"/>
    </font>
    <font>
      <name val="Arial"/>
      <b val="1"/>
      <color rgb="00FFFFFF"/>
      <sz val="13"/>
    </font>
    <font>
      <name val="Arial"/>
      <color rgb="00E8E8E8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7F6F4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22" customWidth="1" min="4" max="4"/>
    <col width="14" customWidth="1" min="5" max="5"/>
    <col width="28" customWidth="1" min="6" max="6"/>
    <col width="18" customWidth="1" min="7" max="7"/>
    <col width="18" customWidth="1" min="8" max="8"/>
    <col width="18" customWidth="1" min="9" max="9"/>
    <col width="12" customWidth="1" min="10" max="10"/>
    <col width="34" customWidth="1" min="11" max="11"/>
  </cols>
  <sheetData>
    <row r="1" ht="30" customHeight="1">
      <c r="A1" s="1" t="inlineStr">
        <is>
          <t>LITHOS WORKSHOP — PULSAR · OBJECT I</t>
        </is>
      </c>
    </row>
    <row r="2" ht="16" customHeight="1">
      <c r="A2" s="2" t="inlineStr">
        <is>
          <t>Presupuesto de Fabricacion · Edicion de 120 unidades · Montevideo, Uruguay · 2026</t>
        </is>
      </c>
    </row>
    <row r="3" ht="14" customHeight="1">
      <c r="A3" s="3" t="inlineStr">
        <is>
          <t>Todos los precios en dolares estadounidenses (USD). FOB Shenzhen salvo indicacion contraria.</t>
        </is>
      </c>
    </row>
    <row r="4" ht="22" customHeight="1">
      <c r="A4" s="4" t="inlineStr">
        <is>
          <t>#</t>
        </is>
      </c>
      <c r="B4" s="4" t="inlineStr">
        <is>
          <t>Categoria</t>
        </is>
      </c>
      <c r="C4" s="4" t="inlineStr">
        <is>
          <t>Componente / Servicio</t>
        </is>
      </c>
      <c r="D4" s="4" t="inlineStr">
        <is>
          <t>Proveedor</t>
        </is>
      </c>
      <c r="E4" s="4" t="inlineStr">
        <is>
          <t>Ciudad</t>
        </is>
      </c>
      <c r="F4" s="4" t="inlineStr">
        <is>
          <t>Contacto / Sitio Web</t>
        </is>
      </c>
      <c r="G4" s="4" t="inlineStr">
        <is>
          <t>USD Prototipo (5u)</t>
        </is>
      </c>
      <c r="H4" s="4" t="inlineStr">
        <is>
          <t>USD x Unidad (100u)</t>
        </is>
      </c>
      <c r="I4" s="4" t="inlineStr">
        <is>
          <t>USD x Unidad (500u)</t>
        </is>
      </c>
      <c r="J4" s="4" t="inlineStr">
        <is>
          <t>Lead Time</t>
        </is>
      </c>
      <c r="K4" s="4" t="inlineStr">
        <is>
          <t>Notas Tecnicas</t>
        </is>
      </c>
    </row>
    <row r="5" ht="18" customHeight="1">
      <c r="A5" s="5" t="inlineStr">
        <is>
          <t>PCB Y ENSAMBLE</t>
        </is>
      </c>
    </row>
    <row r="6" ht="30" customHeight="1">
      <c r="A6" s="6" t="n">
        <v>1</v>
      </c>
      <c r="B6" s="7" t="inlineStr">
        <is>
          <t>PCB</t>
        </is>
      </c>
      <c r="C6" s="8" t="inlineStr">
        <is>
          <t>PCB 16 capas ENIG — 292×102 mm</t>
        </is>
      </c>
      <c r="D6" s="7" t="inlineStr">
        <is>
          <t>JLCPCB</t>
        </is>
      </c>
      <c r="E6" s="7" t="inlineStr">
        <is>
          <t>Shenzhen, CN</t>
        </is>
      </c>
      <c r="F6" s="8" t="inlineStr">
        <is>
          <t>jlcpcb.com</t>
        </is>
      </c>
      <c r="G6" s="9" t="n">
        <v>500</v>
      </c>
      <c r="H6" s="9" t="n">
        <v>68</v>
      </c>
      <c r="I6" s="9" t="n">
        <v>42</v>
      </c>
      <c r="J6" s="7" t="inlineStr">
        <is>
          <t>10-14 dias</t>
        </is>
      </c>
      <c r="K6" s="8" t="inlineStr">
        <is>
          <t>16L JLC04161H-7628. ENIG. Tolerancia ±0.1mm. IPC Clase 2.</t>
        </is>
      </c>
    </row>
    <row r="7" ht="30" customHeight="1">
      <c r="A7" s="10" t="n">
        <v>2</v>
      </c>
      <c r="B7" s="11" t="inlineStr">
        <is>
          <t>PCB</t>
        </is>
      </c>
      <c r="C7" s="12" t="inlineStr">
        <is>
          <t>PCBA — ensamble SMD completo</t>
        </is>
      </c>
      <c r="D7" s="11" t="inlineStr">
        <is>
          <t>JLCPCB SMT</t>
        </is>
      </c>
      <c r="E7" s="11" t="inlineStr">
        <is>
          <t>Shenzhen, CN</t>
        </is>
      </c>
      <c r="F7" s="12" t="inlineStr">
        <is>
          <t>jlcpcb.com/smt</t>
        </is>
      </c>
      <c r="G7" s="11" t="inlineStr"/>
      <c r="H7" s="13" t="n">
        <v>85</v>
      </c>
      <c r="I7" s="13" t="n">
        <v>62</v>
      </c>
      <c r="J7" s="11" t="inlineStr">
        <is>
          <t>3-5 dias adicionales</t>
        </is>
      </c>
      <c r="K7" s="12" t="inlineStr">
        <is>
          <t>Stencil incluido. BOM gestionado por JLCPCB. BGA manual extra.</t>
        </is>
      </c>
    </row>
    <row r="8" ht="30" customHeight="1">
      <c r="A8" s="6" t="n">
        <v>3</v>
      </c>
      <c r="B8" s="7" t="inlineStr">
        <is>
          <t>PCB</t>
        </is>
      </c>
      <c r="C8" s="8" t="inlineStr">
        <is>
          <t>Stencil de acero inoxidable (5 unidades)</t>
        </is>
      </c>
      <c r="D8" s="7" t="inlineStr">
        <is>
          <t>JLCPCB</t>
        </is>
      </c>
      <c r="E8" s="7" t="inlineStr">
        <is>
          <t>Shenzhen, CN</t>
        </is>
      </c>
      <c r="F8" s="8" t="inlineStr">
        <is>
          <t>jlcpcb.com</t>
        </is>
      </c>
      <c r="G8" s="9" t="n">
        <v>18</v>
      </c>
      <c r="H8" s="7" t="inlineStr"/>
      <c r="I8" s="7" t="inlineStr"/>
      <c r="J8" s="7" t="inlineStr">
        <is>
          <t>2 dias</t>
        </is>
      </c>
      <c r="K8" s="8" t="inlineStr">
        <is>
          <t>Para prototipado manual. No aplica en produccion SMT.</t>
        </is>
      </c>
    </row>
    <row r="9" ht="30" customHeight="1">
      <c r="A9" s="10" t="n">
        <v>4</v>
      </c>
      <c r="B9" s="11" t="inlineStr">
        <is>
          <t>PCB</t>
        </is>
      </c>
      <c r="C9" s="12" t="inlineStr">
        <is>
          <t>ICT / Flying probe test (por unidad)</t>
        </is>
      </c>
      <c r="D9" s="11" t="inlineStr">
        <is>
          <t>JLCPCB Test</t>
        </is>
      </c>
      <c r="E9" s="11" t="inlineStr">
        <is>
          <t>Shenzhen, CN</t>
        </is>
      </c>
      <c r="F9" s="12" t="inlineStr">
        <is>
          <t>jlcpcb.com</t>
        </is>
      </c>
      <c r="G9" s="11" t="inlineStr"/>
      <c r="H9" s="13" t="n">
        <v>3.5</v>
      </c>
      <c r="I9" s="13" t="n">
        <v>2</v>
      </c>
      <c r="J9" s="11" t="inlineStr">
        <is>
          <t>Incluido</t>
        </is>
      </c>
      <c r="K9" s="12" t="inlineStr">
        <is>
          <t>100% testing electrico. Requerido para IPC Clase 2.</t>
        </is>
      </c>
    </row>
    <row r="10" ht="18" customHeight="1">
      <c r="A10" s="5" t="inlineStr">
        <is>
          <t>COMPONENTES ELECTRONICOS</t>
        </is>
      </c>
    </row>
    <row r="11" ht="30" customHeight="1">
      <c r="A11" s="6" t="n">
        <v>1</v>
      </c>
      <c r="B11" s="7" t="inlineStr">
        <is>
          <t>COMP</t>
        </is>
      </c>
      <c r="C11" s="8" t="inlineStr">
        <is>
          <t>FPGA — Xilinx Artix-7 XC7A200T-2FBG484I</t>
        </is>
      </c>
      <c r="D11" s="7" t="inlineStr">
        <is>
          <t>Mouser Electronics</t>
        </is>
      </c>
      <c r="E11" s="7" t="inlineStr">
        <is>
          <t>Texas, EE.UU.</t>
        </is>
      </c>
      <c r="F11" s="8" t="inlineStr">
        <is>
          <t>mouser.com</t>
        </is>
      </c>
      <c r="G11" s="9" t="n">
        <v>95</v>
      </c>
      <c r="H11" s="9" t="n">
        <v>88</v>
      </c>
      <c r="I11" s="9" t="n">
        <v>80</v>
      </c>
      <c r="J11" s="7" t="inlineStr">
        <is>
          <t>2-4 semanas</t>
        </is>
      </c>
      <c r="K11" s="8" t="inlineStr">
        <is>
          <t>BGA 484. -2 speed grade. Single-sourced. Precio fijo por periodo.</t>
        </is>
      </c>
    </row>
    <row r="12" ht="30" customHeight="1">
      <c r="A12" s="10" t="n">
        <v>2</v>
      </c>
      <c r="B12" s="11" t="inlineStr">
        <is>
          <t>COMP</t>
        </is>
      </c>
      <c r="C12" s="12" t="inlineStr">
        <is>
          <t>Microcontrolador STM32F405RGT6 (USB host/device)</t>
        </is>
      </c>
      <c r="D12" s="11" t="inlineStr">
        <is>
          <t>Mouser / LCSC</t>
        </is>
      </c>
      <c r="E12" s="11" t="inlineStr">
        <is>
          <t>TT + CN</t>
        </is>
      </c>
      <c r="F12" s="12" t="inlineStr">
        <is>
          <t>mouser.com | lcsc.com</t>
        </is>
      </c>
      <c r="G12" s="13" t="n">
        <v>7.5</v>
      </c>
      <c r="H12" s="13" t="n">
        <v>6.8</v>
      </c>
      <c r="I12" s="13" t="n">
        <v>5.9</v>
      </c>
      <c r="J12" s="11" t="inlineStr">
        <is>
          <t>1-2 semanas</t>
        </is>
      </c>
      <c r="K12" s="12" t="inlineStr">
        <is>
          <t>128KB RAM, 1MB Flash. Gestiona HID + FIDO2 bridge.</t>
        </is>
      </c>
    </row>
    <row r="13" ht="30" customHeight="1">
      <c r="A13" s="6" t="n">
        <v>3</v>
      </c>
      <c r="B13" s="7" t="inlineStr">
        <is>
          <t>COMP</t>
        </is>
      </c>
      <c r="C13" s="8" t="inlineStr">
        <is>
          <t xml:space="preserve">ADC AD7689BCPZ — 16-bit, 8ch SPI (x8)</t>
        </is>
      </c>
      <c r="D13" s="7" t="inlineStr">
        <is>
          <t xml:space="preserve">Analog Devices / Mouser</t>
        </is>
      </c>
      <c r="E13" s="7" t="inlineStr">
        <is>
          <t>Texas, EE.UU.</t>
        </is>
      </c>
      <c r="F13" s="8" t="inlineStr">
        <is>
          <t>mouser.com</t>
        </is>
      </c>
      <c r="G13" s="9" t="n">
        <v>74</v>
      </c>
      <c r="H13" s="9" t="n">
        <v>68</v>
      </c>
      <c r="I13" s="9" t="n">
        <v>58</v>
      </c>
      <c r="J13" s="7" t="inlineStr">
        <is>
          <t>3-5 semanas</t>
        </is>
      </c>
      <c r="K13" s="8" t="inlineStr">
        <is>
          <t xml:space="preserve">8 unidades por PCB. 250 kSPS. LFCSP-20. ⚠ RECOTIZAR: precios (74/68/58) eran de ADS8688/TI; AD7689/Analog Devices tiene otro precio y son 8 uds (no 4).</t>
        </is>
      </c>
    </row>
    <row r="14" ht="30" customHeight="1">
      <c r="A14" s="10" t="n">
        <v>4</v>
      </c>
      <c r="B14" s="11" t="inlineStr">
        <is>
          <t>COMP</t>
        </is>
      </c>
      <c r="C14" s="12" t="inlineStr">
        <is>
          <t>Sensor Hall SS49E (x64)</t>
        </is>
      </c>
      <c r="D14" s="11" t="inlineStr">
        <is>
          <t>LCSC Electronics</t>
        </is>
      </c>
      <c r="E14" s="11" t="inlineStr">
        <is>
          <t>Shenzhen, CN</t>
        </is>
      </c>
      <c r="F14" s="12" t="inlineStr">
        <is>
          <t>lcsc.com</t>
        </is>
      </c>
      <c r="G14" s="13" t="n">
        <v>33.55</v>
      </c>
      <c r="H14" s="13" t="n">
        <v>28</v>
      </c>
      <c r="I14" s="13" t="n">
        <v>22.4</v>
      </c>
      <c r="J14" s="11" t="inlineStr">
        <is>
          <t>3-5 dias</t>
        </is>
      </c>
      <c r="K14" s="12" t="inlineStr">
        <is>
          <t>64 unidades por teclado. Through-hole. Output lineal.</t>
        </is>
      </c>
    </row>
    <row r="15" ht="30" customHeight="1">
      <c r="A15" s="6" t="n">
        <v>5</v>
      </c>
      <c r="B15" s="7" t="inlineStr">
        <is>
          <t>COMP</t>
        </is>
      </c>
      <c r="C15" s="8" t="inlineStr">
        <is>
          <t>Chip FIDO2/ATECC608A-TFLXTLSS-B</t>
        </is>
      </c>
      <c r="D15" s="7" t="inlineStr">
        <is>
          <t>Microchip / Mouser</t>
        </is>
      </c>
      <c r="E15" s="7" t="inlineStr">
        <is>
          <t>Arizona, EE.UU.</t>
        </is>
      </c>
      <c r="F15" s="8" t="inlineStr">
        <is>
          <t>mouser.com</t>
        </is>
      </c>
      <c r="G15" s="9" t="n">
        <v>2.8</v>
      </c>
      <c r="H15" s="9" t="n">
        <v>2.4</v>
      </c>
      <c r="I15" s="9" t="n">
        <v>1.95</v>
      </c>
      <c r="J15" s="7" t="inlineStr">
        <is>
          <t>1-2 semanas</t>
        </is>
      </c>
      <c r="K15" s="8" t="inlineStr">
        <is>
          <t>Autenticacion hardware. EAL5+. SOIC-8.</t>
        </is>
      </c>
    </row>
    <row r="16" ht="30" customHeight="1">
      <c r="A16" s="10" t="n">
        <v>6</v>
      </c>
      <c r="B16" s="11" t="inlineStr">
        <is>
          <t>COMP</t>
        </is>
      </c>
      <c r="C16" s="12" t="inlineStr">
        <is>
          <t>SRAM IS61WV102416BLL-10TLI (2M x16)</t>
        </is>
      </c>
      <c r="D16" s="11" t="inlineStr">
        <is>
          <t>ISSI / Mouser</t>
        </is>
      </c>
      <c r="E16" s="11" t="inlineStr">
        <is>
          <t>CA, EE.UU.</t>
        </is>
      </c>
      <c r="F16" s="12" t="inlineStr">
        <is>
          <t>mouser.com</t>
        </is>
      </c>
      <c r="G16" s="13" t="n">
        <v>14.5</v>
      </c>
      <c r="H16" s="13" t="n">
        <v>12</v>
      </c>
      <c r="I16" s="13" t="n">
        <v>9.800000000000001</v>
      </c>
      <c r="J16" s="11" t="inlineStr">
        <is>
          <t>1-2 semanas</t>
        </is>
      </c>
      <c r="K16" s="12" t="inlineStr">
        <is>
          <t>SOJ-44. 10ns. Buffer de frames del sensor controller.</t>
        </is>
      </c>
    </row>
    <row r="17" ht="30" customHeight="1">
      <c r="A17" s="6" t="n">
        <v>7</v>
      </c>
      <c r="B17" s="7" t="inlineStr">
        <is>
          <t>COMP</t>
        </is>
      </c>
      <c r="C17" s="8" t="inlineStr">
        <is>
          <t>Flash SPI W25Q128JVSIQ (128Mbit)</t>
        </is>
      </c>
      <c r="D17" s="7" t="inlineStr">
        <is>
          <t>Winbond / LCSC</t>
        </is>
      </c>
      <c r="E17" s="7" t="inlineStr">
        <is>
          <t>Shenzhen, CN</t>
        </is>
      </c>
      <c r="F17" s="8" t="inlineStr">
        <is>
          <t>lcsc.com</t>
        </is>
      </c>
      <c r="G17" s="9" t="n">
        <v>1.2</v>
      </c>
      <c r="H17" s="9" t="n">
        <v>0.95</v>
      </c>
      <c r="I17" s="9" t="n">
        <v>0.75</v>
      </c>
      <c r="J17" s="7" t="inlineStr">
        <is>
          <t>3-5 dias</t>
        </is>
      </c>
      <c r="K17" s="8" t="inlineStr">
        <is>
          <t>Almacena firmware y configuracion de usuario.</t>
        </is>
      </c>
    </row>
    <row r="18" ht="30" customHeight="1">
      <c r="A18" s="10" t="n">
        <v>8</v>
      </c>
      <c r="B18" s="11" t="inlineStr">
        <is>
          <t>COMP</t>
        </is>
      </c>
      <c r="C18" s="12" t="inlineStr">
        <is>
          <t>Osciladores TCXO 50 MHz + 48 MHz (x2)</t>
        </is>
      </c>
      <c r="D18" s="11" t="inlineStr">
        <is>
          <t>TXC / Mouser</t>
        </is>
      </c>
      <c r="E18" s="11" t="inlineStr">
        <is>
          <t>TW</t>
        </is>
      </c>
      <c r="F18" s="12" t="inlineStr">
        <is>
          <t>mouser.com</t>
        </is>
      </c>
      <c r="G18" s="13" t="n">
        <v>3.8</v>
      </c>
      <c r="H18" s="13" t="n">
        <v>3.2</v>
      </c>
      <c r="I18" s="13" t="n">
        <v>2.6</v>
      </c>
      <c r="J18" s="11" t="inlineStr">
        <is>
          <t>1-2 semanas</t>
        </is>
      </c>
      <c r="K18" s="12" t="inlineStr">
        <is>
          <t>CLK_50M para FPGA, CLK_48M para USB. ±0.5 ppm.</t>
        </is>
      </c>
    </row>
    <row r="19" ht="30" customHeight="1">
      <c r="A19" s="6" t="n">
        <v>9</v>
      </c>
      <c r="B19" s="7" t="inlineStr">
        <is>
          <t>COMP</t>
        </is>
      </c>
      <c r="C19" s="8" t="inlineStr">
        <is>
          <t>Reguladores DC-DC (TPS62130, TLV62568) x3</t>
        </is>
      </c>
      <c r="D19" s="7" t="inlineStr">
        <is>
          <t>TI / Mouser</t>
        </is>
      </c>
      <c r="E19" s="7" t="inlineStr">
        <is>
          <t>Texas, EE.UU.</t>
        </is>
      </c>
      <c r="F19" s="8" t="inlineStr">
        <is>
          <t>mouser.com</t>
        </is>
      </c>
      <c r="G19" s="9" t="n">
        <v>9.6</v>
      </c>
      <c r="H19" s="9" t="n">
        <v>7.8</v>
      </c>
      <c r="I19" s="9" t="n">
        <v>6.1</v>
      </c>
      <c r="J19" s="7" t="inlineStr">
        <is>
          <t>1-2 semanas</t>
        </is>
      </c>
      <c r="K19" s="8" t="inlineStr">
        <is>
          <t>Genera +1V0, +1V8, +1V0_MGT desde +3V3 VBUS.</t>
        </is>
      </c>
    </row>
    <row r="20" ht="30" customHeight="1">
      <c r="A20" s="10" t="n">
        <v>10</v>
      </c>
      <c r="B20" s="11" t="inlineStr">
        <is>
          <t>COMP</t>
        </is>
      </c>
      <c r="C20" s="12" t="inlineStr">
        <is>
          <t>USB-C PD controller (FUSB302)</t>
        </is>
      </c>
      <c r="D20" s="11" t="inlineStr">
        <is>
          <t>onsemi / Mouser</t>
        </is>
      </c>
      <c r="E20" s="11" t="inlineStr">
        <is>
          <t>AZ, EE.UU.</t>
        </is>
      </c>
      <c r="F20" s="12" t="inlineStr">
        <is>
          <t>mouser.com</t>
        </is>
      </c>
      <c r="G20" s="13" t="n">
        <v>1.8</v>
      </c>
      <c r="H20" s="13" t="n">
        <v>1.45</v>
      </c>
      <c r="I20" s="13" t="n">
        <v>1.1</v>
      </c>
      <c r="J20" s="11" t="inlineStr">
        <is>
          <t>1-2 semanas</t>
        </is>
      </c>
      <c r="K20" s="12" t="inlineStr">
        <is>
          <t>Negotiacion USB PD, CC1/CC2. VBUS 5V.</t>
        </is>
      </c>
    </row>
    <row r="21" ht="30" customHeight="1">
      <c r="A21" s="6" t="n">
        <v>11</v>
      </c>
      <c r="B21" s="7" t="inlineStr">
        <is>
          <t>COMP</t>
        </is>
      </c>
      <c r="C21" s="8" t="inlineStr">
        <is>
          <t>Display OLED SSD1306 128x32 SPI</t>
        </is>
      </c>
      <c r="D21" s="7" t="inlineStr">
        <is>
          <t>Adafruit / LCSC</t>
        </is>
      </c>
      <c r="E21" s="7" t="inlineStr">
        <is>
          <t>NY + CN</t>
        </is>
      </c>
      <c r="F21" s="8" t="inlineStr">
        <is>
          <t>adafruit.com | lcsc.com</t>
        </is>
      </c>
      <c r="G21" s="9" t="n">
        <v>4.2</v>
      </c>
      <c r="H21" s="9" t="n">
        <v>3.1</v>
      </c>
      <c r="I21" s="9" t="n">
        <v>2.2</v>
      </c>
      <c r="J21" s="7" t="inlineStr">
        <is>
          <t>3-7 dias</t>
        </is>
      </c>
      <c r="K21" s="8" t="inlineStr">
        <is>
          <t>Bit-banged SPI. Informacion de perfil / estado.</t>
        </is>
      </c>
    </row>
    <row r="22" ht="30" customHeight="1">
      <c r="A22" s="10" t="n">
        <v>12</v>
      </c>
      <c r="B22" s="11" t="inlineStr">
        <is>
          <t>COMP</t>
        </is>
      </c>
      <c r="C22" s="12" t="inlineStr">
        <is>
          <t>Capacitores de desacoplo (100nF, 10uF) — kit BOM</t>
        </is>
      </c>
      <c r="D22" s="11" t="inlineStr">
        <is>
          <t>YAGEO / LCSC</t>
        </is>
      </c>
      <c r="E22" s="11" t="inlineStr">
        <is>
          <t>Shenzhen, CN</t>
        </is>
      </c>
      <c r="F22" s="12" t="inlineStr">
        <is>
          <t>lcsc.com</t>
        </is>
      </c>
      <c r="G22" s="13" t="n">
        <v>8.4</v>
      </c>
      <c r="H22" s="13" t="n">
        <v>5.2</v>
      </c>
      <c r="I22" s="13" t="n">
        <v>3.8</v>
      </c>
      <c r="J22" s="11" t="inlineStr">
        <is>
          <t>3-5 dias</t>
        </is>
      </c>
      <c r="K22" s="12" t="inlineStr">
        <is>
          <t>~200 unidades por PCB. 0402/0603.</t>
        </is>
      </c>
    </row>
    <row r="23" ht="30" customHeight="1">
      <c r="A23" s="6" t="n">
        <v>13</v>
      </c>
      <c r="B23" s="7" t="inlineStr">
        <is>
          <t>COMP</t>
        </is>
      </c>
      <c r="C23" s="8" t="inlineStr">
        <is>
          <t>Resistores, inductores, componentes pasivos — BOM</t>
        </is>
      </c>
      <c r="D23" s="7" t="inlineStr">
        <is>
          <t>YAGEO / Bourns</t>
        </is>
      </c>
      <c r="E23" s="7" t="inlineStr">
        <is>
          <t>Shenzhen, CN</t>
        </is>
      </c>
      <c r="F23" s="8" t="inlineStr">
        <is>
          <t>lcsc.com</t>
        </is>
      </c>
      <c r="G23" s="9" t="n">
        <v>6.8</v>
      </c>
      <c r="H23" s="9" t="n">
        <v>4.1</v>
      </c>
      <c r="I23" s="9" t="n">
        <v>2.9</v>
      </c>
      <c r="J23" s="7" t="inlineStr">
        <is>
          <t>3-5 dias</t>
        </is>
      </c>
      <c r="K23" s="8" t="inlineStr">
        <is>
          <t>~150 refs. 0402 para senales, 0603/1206 para potencia.</t>
        </is>
      </c>
    </row>
    <row r="24" ht="18" customHeight="1">
      <c r="A24" s="5" t="inlineStr">
        <is>
          <t>CARCASA Y MECANICA</t>
        </is>
      </c>
    </row>
    <row r="25" ht="30" customHeight="1">
      <c r="A25" s="6" t="n">
        <v>1</v>
      </c>
      <c r="B25" s="7" t="inlineStr">
        <is>
          <t>ENC</t>
        </is>
      </c>
      <c r="C25" s="8" t="inlineStr">
        <is>
          <t>Carcasa CNC — aluminio 6061-T6, top + bottom (por set)</t>
        </is>
      </c>
      <c r="D25" s="7" t="inlineStr">
        <is>
          <t>JLCCNC</t>
        </is>
      </c>
      <c r="E25" s="7" t="inlineStr">
        <is>
          <t>Shenzhen, CN</t>
        </is>
      </c>
      <c r="F25" s="8" t="inlineStr">
        <is>
          <t>jlcpcb.com/cnc</t>
        </is>
      </c>
      <c r="G25" s="9" t="n">
        <v>280</v>
      </c>
      <c r="H25" s="9" t="n">
        <v>68</v>
      </c>
      <c r="I25" s="9" t="n">
        <v>52</v>
      </c>
      <c r="J25" s="7" t="inlineStr">
        <is>
          <t>5-7 dias</t>
        </is>
      </c>
      <c r="K25" s="8" t="inlineStr">
        <is>
          <t>Hard anodize negro mate. Tolerancia ±0.05mm. 2 piezas por unidad.</t>
        </is>
      </c>
    </row>
    <row r="26" ht="30" customHeight="1">
      <c r="A26" s="10" t="n">
        <v>2</v>
      </c>
      <c r="B26" s="11" t="inlineStr">
        <is>
          <t>ENC</t>
        </is>
      </c>
      <c r="C26" s="12" t="inlineStr">
        <is>
          <t>Placa de peso — acero inoxidable SS304 (por unidad)</t>
        </is>
      </c>
      <c r="D26" s="11" t="inlineStr">
        <is>
          <t>JLCCNC</t>
        </is>
      </c>
      <c r="E26" s="11" t="inlineStr">
        <is>
          <t>Shenzhen, CN</t>
        </is>
      </c>
      <c r="F26" s="12" t="inlineStr">
        <is>
          <t>jlcpcb.com/cnc</t>
        </is>
      </c>
      <c r="G26" s="13" t="n">
        <v>45</v>
      </c>
      <c r="H26" s="13" t="n">
        <v>22</v>
      </c>
      <c r="I26" s="13" t="n">
        <v>16</v>
      </c>
      <c r="J26" s="11" t="inlineStr">
        <is>
          <t>5 dias</t>
        </is>
      </c>
      <c r="K26" s="12" t="inlineStr">
        <is>
          <t>Interior de la carcasa. Incrementa masa y damping acustico.</t>
        </is>
      </c>
    </row>
    <row r="27" ht="30" customHeight="1">
      <c r="A27" s="6" t="n">
        <v>3</v>
      </c>
      <c r="B27" s="7" t="inlineStr">
        <is>
          <t>ENC</t>
        </is>
      </c>
      <c r="C27" s="8" t="inlineStr">
        <is>
          <t>Gasket de silicona Shore A40 (por unidad)</t>
        </is>
      </c>
      <c r="D27" s="7" t="inlineStr">
        <is>
          <t>Shenzhen Silicone MFG</t>
        </is>
      </c>
      <c r="E27" s="7" t="inlineStr">
        <is>
          <t>Shenzhen, CN</t>
        </is>
      </c>
      <c r="F27" s="8" t="inlineStr">
        <is>
          <t>alibaba.com</t>
        </is>
      </c>
      <c r="G27" s="9" t="n">
        <v>12</v>
      </c>
      <c r="H27" s="9" t="n">
        <v>5.8</v>
      </c>
      <c r="I27" s="9" t="n">
        <v>3.9</v>
      </c>
      <c r="J27" s="7" t="inlineStr">
        <is>
          <t>7-10 dias</t>
        </is>
      </c>
      <c r="K27" s="8" t="inlineStr">
        <is>
          <t>Desacopla PCB de carcasa. Perfil custom. Moho en lote 100+.</t>
        </is>
      </c>
    </row>
    <row r="28" ht="30" customHeight="1">
      <c r="A28" s="10" t="n">
        <v>4</v>
      </c>
      <c r="B28" s="11" t="inlineStr">
        <is>
          <t>ENC</t>
        </is>
      </c>
      <c r="C28" s="12" t="inlineStr">
        <is>
          <t>Tornilleria — M2/M3 acero inoxidable (kit)</t>
        </is>
      </c>
      <c r="D28" s="11" t="inlineStr">
        <is>
          <t>LCSC / McMaster</t>
        </is>
      </c>
      <c r="E28" s="11" t="inlineStr">
        <is>
          <t>CN + EE.UU.</t>
        </is>
      </c>
      <c r="F28" s="12" t="inlineStr">
        <is>
          <t>lcsc.com</t>
        </is>
      </c>
      <c r="G28" s="13" t="n">
        <v>2.4</v>
      </c>
      <c r="H28" s="13" t="n">
        <v>1.8</v>
      </c>
      <c r="I28" s="13" t="n">
        <v>1.4</v>
      </c>
      <c r="J28" s="11" t="inlineStr">
        <is>
          <t>3-5 dias</t>
        </is>
      </c>
      <c r="K28" s="12" t="inlineStr">
        <is>
          <t>20 tornillos por unidad. Cabeza plana, acabado negro.</t>
        </is>
      </c>
    </row>
    <row r="29" ht="30" customHeight="1">
      <c r="A29" s="6" t="n">
        <v>5</v>
      </c>
      <c r="B29" s="7" t="inlineStr">
        <is>
          <t>ENC</t>
        </is>
      </c>
      <c r="C29" s="8" t="inlineStr">
        <is>
          <t>Pies de silicona antideslizantes (4 por unidad)</t>
        </is>
      </c>
      <c r="D29" s="7" t="inlineStr">
        <is>
          <t>Shenzhen supplier</t>
        </is>
      </c>
      <c r="E29" s="7" t="inlineStr">
        <is>
          <t>Shenzhen, CN</t>
        </is>
      </c>
      <c r="F29" s="8" t="inlineStr">
        <is>
          <t>alibaba.com</t>
        </is>
      </c>
      <c r="G29" s="9" t="n">
        <v>0.8</v>
      </c>
      <c r="H29" s="9" t="n">
        <v>0.45</v>
      </c>
      <c r="I29" s="9" t="n">
        <v>0.3</v>
      </c>
      <c r="J29" s="7" t="inlineStr">
        <is>
          <t>3-5 dias</t>
        </is>
      </c>
      <c r="K29" s="8" t="inlineStr">
        <is>
          <t>Adhesivos. 3M 468MP base.</t>
        </is>
      </c>
    </row>
    <row r="30" ht="30" customHeight="1">
      <c r="A30" s="10" t="n">
        <v>6</v>
      </c>
      <c r="B30" s="11" t="inlineStr">
        <is>
          <t>ENC</t>
        </is>
      </c>
      <c r="C30" s="12" t="inlineStr">
        <is>
          <t>Lamina de vidrio templado con DLC — panel superior</t>
        </is>
      </c>
      <c r="D30" s="11" t="inlineStr">
        <is>
          <t>Dongguan Glass Tech</t>
        </is>
      </c>
      <c r="E30" s="11" t="inlineStr">
        <is>
          <t>Dongguan, CN</t>
        </is>
      </c>
      <c r="F30" s="12" t="inlineStr">
        <is>
          <t>alibaba.com</t>
        </is>
      </c>
      <c r="G30" s="13" t="n">
        <v>28</v>
      </c>
      <c r="H30" s="13" t="n">
        <v>18</v>
      </c>
      <c r="I30" s="13" t="n">
        <v>12</v>
      </c>
      <c r="J30" s="11" t="inlineStr">
        <is>
          <t>10-14 dias</t>
        </is>
      </c>
      <c r="K30" s="12" t="inlineStr">
        <is>
          <t>Diamond-Like Carbon coating. Transmitancia &gt; 92%. 0.7mm.</t>
        </is>
      </c>
    </row>
    <row r="31" ht="18" customHeight="1">
      <c r="A31" s="5" t="inlineStr">
        <is>
          <t>KEYCAPS Y PERFIL</t>
        </is>
      </c>
    </row>
    <row r="32" ht="30" customHeight="1">
      <c r="A32" s="6" t="n">
        <v>1</v>
      </c>
      <c r="B32" s="7" t="inlineStr">
        <is>
          <t>KEY</t>
        </is>
      </c>
      <c r="C32" s="8" t="inlineStr">
        <is>
          <t>Keycaps PBT double-shot, perfil custom LITHOS</t>
        </is>
      </c>
      <c r="D32" s="7" t="inlineStr">
        <is>
          <t>KBDfans</t>
        </is>
      </c>
      <c r="E32" s="7" t="inlineStr">
        <is>
          <t>Shenzhen, CN</t>
        </is>
      </c>
      <c r="F32" s="8" t="inlineStr">
        <is>
          <t>kbdfans.com</t>
        </is>
      </c>
      <c r="G32" s="9" t="n">
        <v>85</v>
      </c>
      <c r="H32" s="9" t="n">
        <v>42</v>
      </c>
      <c r="I32" s="9" t="n">
        <v>32</v>
      </c>
      <c r="J32" s="7" t="inlineStr">
        <is>
          <t>14-21 dias</t>
        </is>
      </c>
      <c r="K32" s="8" t="inlineStr">
        <is>
          <t>PBT gris oscuro / leyenda blanca. 68 teclas. MOQ 100 sets.</t>
        </is>
      </c>
    </row>
    <row r="33" ht="30" customHeight="1">
      <c r="A33" s="10" t="n">
        <v>2</v>
      </c>
      <c r="B33" s="11" t="inlineStr">
        <is>
          <t>KEY</t>
        </is>
      </c>
      <c r="C33" s="12" t="inlineStr">
        <is>
          <t>Keycaps CeraKey — ceramica tecnica (upgrade premium)</t>
        </is>
      </c>
      <c r="D33" s="11" t="inlineStr">
        <is>
          <t>CeraKey</t>
        </is>
      </c>
      <c r="E33" s="11" t="inlineStr">
        <is>
          <t>Shenzhen, CN</t>
        </is>
      </c>
      <c r="F33" s="12" t="inlineStr">
        <is>
          <t>cerakey.com</t>
        </is>
      </c>
      <c r="G33" s="11" t="inlineStr"/>
      <c r="H33" s="13" t="n">
        <v>280</v>
      </c>
      <c r="I33" s="13" t="n">
        <v>240</v>
      </c>
      <c r="J33" s="11" t="inlineStr">
        <is>
          <t>3-4 semanas</t>
        </is>
      </c>
      <c r="K33" s="12" t="inlineStr">
        <is>
          <t>Opcion premium. MOQ 50 sets. Requiere confirmacion de pedido.</t>
        </is>
      </c>
    </row>
    <row r="34" ht="18" customHeight="1">
      <c r="A34" s="5" t="inlineStr">
        <is>
          <t>PACKAGING Y DISTRIBUCION</t>
        </is>
      </c>
    </row>
    <row r="35" ht="30" customHeight="1">
      <c r="A35" s="6" t="n">
        <v>1</v>
      </c>
      <c r="B35" s="7" t="inlineStr">
        <is>
          <t>PKG</t>
        </is>
      </c>
      <c r="C35" s="8" t="inlineStr">
        <is>
          <t>Caja rigida lino + interior foam custom</t>
        </is>
      </c>
      <c r="D35" s="7" t="inlineStr">
        <is>
          <t>Shenzhen Box MFG</t>
        </is>
      </c>
      <c r="E35" s="7" t="inlineStr">
        <is>
          <t>Shenzhen, CN</t>
        </is>
      </c>
      <c r="F35" s="8" t="inlineStr">
        <is>
          <t>alibaba.com</t>
        </is>
      </c>
      <c r="G35" s="9" t="n">
        <v>12</v>
      </c>
      <c r="H35" s="9" t="n">
        <v>7.2</v>
      </c>
      <c r="I35" s="9" t="n">
        <v>5.4</v>
      </c>
      <c r="J35" s="7" t="inlineStr">
        <is>
          <t>10-14 dias</t>
        </is>
      </c>
      <c r="K35" s="8" t="inlineStr">
        <is>
          <t>Caja tipo libro. Folio serigrafado LITHOS. Foam EVA cortado a laser.</t>
        </is>
      </c>
    </row>
    <row r="36" ht="30" customHeight="1">
      <c r="A36" s="10" t="n">
        <v>2</v>
      </c>
      <c r="B36" s="11" t="inlineStr">
        <is>
          <t>PKG</t>
        </is>
      </c>
      <c r="C36" s="12" t="inlineStr">
        <is>
          <t>Tarjeta de edicion numerada (impresion offset)</t>
        </is>
      </c>
      <c r="D36" s="11" t="inlineStr">
        <is>
          <t>Print Hong Kong</t>
        </is>
      </c>
      <c r="E36" s="11" t="inlineStr">
        <is>
          <t>Hong Kong, CN</t>
        </is>
      </c>
      <c r="F36" s="12" t="inlineStr">
        <is>
          <t>printhk.com</t>
        </is>
      </c>
      <c r="G36" s="13" t="n">
        <v>0.8</v>
      </c>
      <c r="H36" s="13" t="n">
        <v>0.35</v>
      </c>
      <c r="I36" s="13" t="n">
        <v>0.2</v>
      </c>
      <c r="J36" s="11" t="inlineStr">
        <is>
          <t>5-7 dias</t>
        </is>
      </c>
      <c r="K36" s="12" t="inlineStr">
        <is>
          <t>Lamina 400gsm, acabado mate suave. Numeracion manual.</t>
        </is>
      </c>
    </row>
    <row r="37" ht="30" customHeight="1">
      <c r="A37" s="6" t="n">
        <v>3</v>
      </c>
      <c r="B37" s="7" t="inlineStr">
        <is>
          <t>PKG</t>
        </is>
      </c>
      <c r="C37" s="8" t="inlineStr">
        <is>
          <t>Cable USB-C trenzado 1.8m, conector USB-A + C</t>
        </is>
      </c>
      <c r="D37" s="7" t="inlineStr">
        <is>
          <t>Shenzhen Cable Co.</t>
        </is>
      </c>
      <c r="E37" s="7" t="inlineStr">
        <is>
          <t>Shenzhen, CN</t>
        </is>
      </c>
      <c r="F37" s="8" t="inlineStr">
        <is>
          <t>alibaba.com</t>
        </is>
      </c>
      <c r="G37" s="9" t="n">
        <v>6.4</v>
      </c>
      <c r="H37" s="9" t="n">
        <v>3.8</v>
      </c>
      <c r="I37" s="9" t="n">
        <v>2.6</v>
      </c>
      <c r="J37" s="7" t="inlineStr">
        <is>
          <t>5-7 dias</t>
        </is>
      </c>
      <c r="K37" s="8" t="inlineStr">
        <is>
          <t>USB 2.0 HS. 20V/3A. Nylon braided. Caja propia.</t>
        </is>
      </c>
    </row>
    <row r="38" ht="30" customHeight="1">
      <c r="A38" s="10" t="n">
        <v>4</v>
      </c>
      <c r="B38" s="11" t="inlineStr">
        <is>
          <t>PKG</t>
        </is>
      </c>
      <c r="C38" s="12" t="inlineStr">
        <is>
          <t>Instrucciones impresas A5 + certificado de edicion</t>
        </is>
      </c>
      <c r="D38" s="11" t="inlineStr">
        <is>
          <t>Print Hong Kong</t>
        </is>
      </c>
      <c r="E38" s="11" t="inlineStr">
        <is>
          <t>Hong Kong, CN</t>
        </is>
      </c>
      <c r="F38" s="12" t="inlineStr">
        <is>
          <t>printhk.com</t>
        </is>
      </c>
      <c r="G38" s="13" t="n">
        <v>1.2</v>
      </c>
      <c r="H38" s="13" t="n">
        <v>0.6</v>
      </c>
      <c r="I38" s="13" t="n">
        <v>0.4</v>
      </c>
      <c r="J38" s="11" t="inlineStr">
        <is>
          <t>5-7 dias</t>
        </is>
      </c>
      <c r="K38" s="12" t="inlineStr">
        <is>
          <t>Papel bond 120gsm. Dos idiomas: espanol e ingles.</t>
        </is>
      </c>
    </row>
    <row r="39" ht="18" customHeight="1">
      <c r="A39" s="5" t="inlineStr">
        <is>
          <t>LOGISTICA INTERNACIONAL</t>
        </is>
      </c>
    </row>
    <row r="40" ht="30" customHeight="1">
      <c r="A40" s="6" t="n">
        <v>1</v>
      </c>
      <c r="B40" s="7" t="inlineStr">
        <is>
          <t>SHIP</t>
        </is>
      </c>
      <c r="C40" s="8" t="inlineStr">
        <is>
          <t>Consolidacion de carga Shenzhen → Hong Kong</t>
        </is>
      </c>
      <c r="D40" s="7" t="inlineStr">
        <is>
          <t>DHL Freight</t>
        </is>
      </c>
      <c r="E40" s="7" t="inlineStr">
        <is>
          <t>HK + CN</t>
        </is>
      </c>
      <c r="F40" s="8" t="inlineStr">
        <is>
          <t>dhl.com</t>
        </is>
      </c>
      <c r="G40" s="7" t="inlineStr"/>
      <c r="H40" s="9" t="n">
        <v>8</v>
      </c>
      <c r="I40" s="9" t="n">
        <v>6</v>
      </c>
      <c r="J40" s="7" t="inlineStr">
        <is>
          <t>1-2 dias</t>
        </is>
      </c>
      <c r="K40" s="8" t="inlineStr">
        <is>
          <t>Consolidacion PCB + carcasa + keycaps antes de envio final.</t>
        </is>
      </c>
    </row>
    <row r="41" ht="30" customHeight="1">
      <c r="A41" s="10" t="n">
        <v>2</v>
      </c>
      <c r="B41" s="11" t="inlineStr">
        <is>
          <t>SHIP</t>
        </is>
      </c>
      <c r="C41" s="12" t="inlineStr">
        <is>
          <t>Envio internacional DHL Express — por unidad</t>
        </is>
      </c>
      <c r="D41" s="11" t="inlineStr">
        <is>
          <t>DHL Express</t>
        </is>
      </c>
      <c r="E41" s="11" t="inlineStr">
        <is>
          <t>Hong Kong, CN</t>
        </is>
      </c>
      <c r="F41" s="12" t="inlineStr">
        <is>
          <t>dhl.com</t>
        </is>
      </c>
      <c r="G41" s="11" t="inlineStr"/>
      <c r="H41" s="13" t="n">
        <v>55</v>
      </c>
      <c r="I41" s="13" t="n">
        <v>48</v>
      </c>
      <c r="J41" s="11" t="inlineStr">
        <is>
          <t>3-5 dias</t>
        </is>
      </c>
      <c r="K41" s="12" t="inlineStr">
        <is>
          <t>Trazabilidad completa. Seguro incluido. 1.2 kg estimado por unidad.</t>
        </is>
      </c>
    </row>
    <row r="42" ht="30" customHeight="1">
      <c r="A42" s="6" t="n">
        <v>3</v>
      </c>
      <c r="B42" s="7" t="inlineStr">
        <is>
          <t>SHIP</t>
        </is>
      </c>
      <c r="C42" s="8" t="inlineStr">
        <is>
          <t>Seguro de carga adicional (0.5% del valor declarado)</t>
        </is>
      </c>
      <c r="D42" s="7" t="inlineStr">
        <is>
          <t>Zurich Insurance</t>
        </is>
      </c>
      <c r="E42" s="7" t="inlineStr">
        <is>
          <t>Internacional</t>
        </is>
      </c>
      <c r="F42" s="8" t="inlineStr">
        <is>
          <t>zurich.com</t>
        </is>
      </c>
      <c r="G42" s="7" t="inlineStr"/>
      <c r="H42" s="9" t="n">
        <v>14.5</v>
      </c>
      <c r="I42" s="9" t="n">
        <v>14.5</v>
      </c>
      <c r="J42" s="7" t="inlineStr">
        <is>
          <t>N/A</t>
        </is>
      </c>
      <c r="K42" s="8" t="inlineStr">
        <is>
          <t>Sobre valor declarado $2,900. Aplica por envio individual.</t>
        </is>
      </c>
    </row>
    <row r="43" ht="18" customHeight="1">
      <c r="A43" s="5" t="inlineStr">
        <is>
          <t>COSTOS NO RECURRENTES (NRE)</t>
        </is>
      </c>
    </row>
    <row r="44" ht="30" customHeight="1">
      <c r="A44" s="6" t="n">
        <v>1</v>
      </c>
      <c r="B44" s="7" t="inlineStr">
        <is>
          <t>NRE</t>
        </is>
      </c>
      <c r="C44" s="8" t="inlineStr">
        <is>
          <t>Desarrollo PCB 16 capas — ruteo y DRC (Emiliano)</t>
        </is>
      </c>
      <c r="D44" s="7" t="inlineStr">
        <is>
          <t>LITHOS Workshop</t>
        </is>
      </c>
      <c r="E44" s="7" t="inlineStr">
        <is>
          <t>Montevideo, UY</t>
        </is>
      </c>
      <c r="F44" s="8" t="inlineStr">
        <is>
          <t>lithos.studio</t>
        </is>
      </c>
      <c r="G44" s="9" t="n">
        <v>3200</v>
      </c>
      <c r="H44" s="7" t="inlineStr"/>
      <c r="I44" s="7" t="inlineStr"/>
      <c r="J44" s="7" t="inlineStr">
        <is>
          <t>Jun 2026</t>
        </is>
      </c>
      <c r="K44" s="8" t="inlineStr">
        <is>
          <t>Costo unico. 556 conexiones, verificacion formal de reglas.</t>
        </is>
      </c>
    </row>
    <row r="45" ht="30" customHeight="1">
      <c r="A45" s="10" t="n">
        <v>2</v>
      </c>
      <c r="B45" s="11" t="inlineStr">
        <is>
          <t>NRE</t>
        </is>
      </c>
      <c r="C45" s="12" t="inlineStr">
        <is>
          <t>Tooling carcasa CNC — setup y fixtures</t>
        </is>
      </c>
      <c r="D45" s="11" t="inlineStr">
        <is>
          <t>JLCCNC</t>
        </is>
      </c>
      <c r="E45" s="11" t="inlineStr">
        <is>
          <t>Shenzhen, CN</t>
        </is>
      </c>
      <c r="F45" s="12" t="inlineStr">
        <is>
          <t>jlcpcb.com/cnc</t>
        </is>
      </c>
      <c r="G45" s="13" t="n">
        <v>800</v>
      </c>
      <c r="H45" s="11" t="inlineStr"/>
      <c r="I45" s="11" t="inlineStr"/>
      <c r="J45" s="11" t="inlineStr">
        <is>
          <t>Una vez</t>
        </is>
      </c>
      <c r="K45" s="12" t="inlineStr">
        <is>
          <t>Setup de maquina CNC para geometria ANSI 65%. No aplica en reorden.</t>
        </is>
      </c>
    </row>
    <row r="46" ht="30" customHeight="1">
      <c r="A46" s="6" t="n">
        <v>3</v>
      </c>
      <c r="B46" s="7" t="inlineStr">
        <is>
          <t>NRE</t>
        </is>
      </c>
      <c r="C46" s="8" t="inlineStr">
        <is>
          <t>Molde gasket de silicona</t>
        </is>
      </c>
      <c r="D46" s="7" t="inlineStr">
        <is>
          <t>Shenzhen Silicone MFG</t>
        </is>
      </c>
      <c r="E46" s="7" t="inlineStr">
        <is>
          <t>Shenzhen, CN</t>
        </is>
      </c>
      <c r="F46" s="8" t="inlineStr">
        <is>
          <t>alibaba.com</t>
        </is>
      </c>
      <c r="G46" s="9" t="n">
        <v>600</v>
      </c>
      <c r="H46" s="7" t="inlineStr"/>
      <c r="I46" s="7" t="inlineStr"/>
      <c r="J46" s="7" t="inlineStr">
        <is>
          <t>Una vez</t>
        </is>
      </c>
      <c r="K46" s="8" t="inlineStr">
        <is>
          <t>Amortizado en lote de 100+ unidades.</t>
        </is>
      </c>
    </row>
    <row r="47" ht="30" customHeight="1">
      <c r="A47" s="10" t="n">
        <v>4</v>
      </c>
      <c r="B47" s="11" t="inlineStr">
        <is>
          <t>NRE</t>
        </is>
      </c>
      <c r="C47" s="12" t="inlineStr">
        <is>
          <t>Numero de serie hardware (VID 0x1209, PID 0x4C58)</t>
        </is>
      </c>
      <c r="D47" s="11" t="inlineStr">
        <is>
          <t>pid.codes</t>
        </is>
      </c>
      <c r="E47" s="11" t="inlineStr">
        <is>
          <t>Abierto</t>
        </is>
      </c>
      <c r="F47" s="12" t="inlineStr">
        <is>
          <t>pid.codes</t>
        </is>
      </c>
      <c r="G47" s="13" t="n">
        <v>0</v>
      </c>
      <c r="H47" s="11" t="inlineStr"/>
      <c r="I47" s="11" t="inlineStr"/>
      <c r="J47" s="11" t="inlineStr">
        <is>
          <t>N/A</t>
        </is>
      </c>
      <c r="K47" s="12" t="inlineStr">
        <is>
          <t>Open-source PID. Registro gratuito. Ya asignado.</t>
        </is>
      </c>
    </row>
    <row r="48" ht="30" customHeight="1">
      <c r="A48" s="6" t="n">
        <v>5</v>
      </c>
      <c r="B48" s="7" t="inlineStr">
        <is>
          <t>NRE</t>
        </is>
      </c>
      <c r="C48" s="8" t="inlineStr">
        <is>
          <t>Firmware + compilador (LLVM fork, rustc backend)</t>
        </is>
      </c>
      <c r="D48" s="7" t="inlineStr">
        <is>
          <t>LITHOS Workshop</t>
        </is>
      </c>
      <c r="E48" s="7" t="inlineStr">
        <is>
          <t>Montevideo, UY</t>
        </is>
      </c>
      <c r="F48" s="8" t="inlineStr">
        <is>
          <t>lithos.studio</t>
        </is>
      </c>
      <c r="G48" s="9" t="n">
        <v>0</v>
      </c>
      <c r="H48" s="7" t="inlineStr"/>
      <c r="I48" s="7" t="inlineStr"/>
      <c r="J48" s="7" t="inlineStr">
        <is>
          <t>Continuo</t>
        </is>
      </c>
      <c r="K48" s="8" t="inlineStr">
        <is>
          <t>Desarrollo interno. Coq proofs + SVA + LEC incluidos.</t>
        </is>
      </c>
    </row>
    <row r="50" ht="20" customHeight="1">
      <c r="A50" s="14" t="inlineStr">
        <is>
          <t>RESUMEN DE COSTOS — REFERENCIAS CLAVE</t>
        </is>
      </c>
    </row>
    <row r="51" ht="20" customHeight="1">
      <c r="A51" s="15" t="inlineStr">
        <is>
          <t>COGS por unidad — PBT keycaps (100u)</t>
        </is>
      </c>
      <c r="B51" s="16" t="inlineStr">
        <is>
          <t>~USD 530</t>
        </is>
      </c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2" t="inlineStr">
        <is>
          <t>~62% margen bruto</t>
        </is>
      </c>
    </row>
    <row r="52" ht="20" customHeight="1">
      <c r="A52" s="17" t="inlineStr">
        <is>
          <t>COGS por unidad — CeraKey (100u)</t>
        </is>
      </c>
      <c r="B52" s="18" t="inlineStr">
        <is>
          <t>~USD 745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8" t="inlineStr">
        <is>
          <t>~74% precio / 26% margen neto en premium</t>
        </is>
      </c>
    </row>
    <row r="53" ht="20" customHeight="1">
      <c r="A53" s="15" t="inlineStr">
        <is>
          <t>Precio de venta — todas las variantes</t>
        </is>
      </c>
      <c r="B53" s="16" t="inlineStr">
        <is>
          <t>USD 2,900</t>
        </is>
      </c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2" t="inlineStr">
        <is>
          <t>Precio unico. Sin variacion por configuracion.</t>
        </is>
      </c>
    </row>
    <row r="54" ht="20" customHeight="1">
      <c r="A54" s="17" t="inlineStr">
        <is>
          <t>NRE total (una vez, prototipo)</t>
        </is>
      </c>
      <c r="B54" s="18" t="inlineStr">
        <is>
          <t>~USD 4,600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8" t="inlineStr">
        <is>
          <t>Se amortiza a partir de la unidad 3 vendida.</t>
        </is>
      </c>
    </row>
  </sheetData>
  <mergeCells count="11">
    <mergeCell ref="A34:K34"/>
    <mergeCell ref="A50:K50"/>
    <mergeCell ref="A3:K3"/>
    <mergeCell ref="A39:K39"/>
    <mergeCell ref="A43:K43"/>
    <mergeCell ref="A24:K24"/>
    <mergeCell ref="A2:K2"/>
    <mergeCell ref="A10:K10"/>
    <mergeCell ref="A5:K5"/>
    <mergeCell ref="A1:K1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30" customWidth="1" min="4" max="4"/>
    <col width="22" customWidth="1" min="5" max="5"/>
    <col width="40" customWidth="1" min="6" max="6"/>
  </cols>
  <sheetData>
    <row r="1" ht="28" customHeight="1">
      <c r="A1" s="19" t="inlineStr">
        <is>
          <t>LITHOS WORKSHOP — PULSAR · DIRECTORIO DE PROVEEDORES</t>
        </is>
      </c>
    </row>
    <row r="2" ht="14" customHeight="1">
      <c r="A2" s="20" t="inlineStr">
        <is>
          <t>Pipeline centralizado en Shenzhen y Hong Kong. Todos los envios finales gestionados desde China.</t>
        </is>
      </c>
    </row>
    <row r="3" ht="20" customHeight="1">
      <c r="A3" s="4" t="inlineStr">
        <is>
          <t>Proveedor</t>
        </is>
      </c>
      <c r="B3" s="4" t="inlineStr">
        <is>
          <t>Categoria</t>
        </is>
      </c>
      <c r="C3" s="4" t="inlineStr">
        <is>
          <t>Ciudad / Pais</t>
        </is>
      </c>
      <c r="D3" s="4" t="inlineStr">
        <is>
          <t>Sitio Web</t>
        </is>
      </c>
      <c r="E3" s="4" t="inlineStr">
        <is>
          <t>Tipo de Pedido</t>
        </is>
      </c>
      <c r="F3" s="4" t="inlineStr">
        <is>
          <t>Notas de Contacto</t>
        </is>
      </c>
    </row>
    <row r="4" ht="28" customHeight="1">
      <c r="A4" s="15" t="inlineStr">
        <is>
          <t>JLCPCB</t>
        </is>
      </c>
      <c r="B4" s="11" t="inlineStr">
        <is>
          <t>PCB 16 capas + PCBA + ENIG</t>
        </is>
      </c>
      <c r="C4" s="11" t="inlineStr">
        <is>
          <t>Shenzhen, China</t>
        </is>
      </c>
      <c r="D4" s="12" t="inlineStr">
        <is>
          <t>jlcpcb.com</t>
        </is>
      </c>
      <c r="E4" s="12" t="inlineStr">
        <is>
          <t>Online self-service</t>
        </is>
      </c>
      <c r="F4" s="12" t="inlineStr">
        <is>
          <t>Portal web. Cotizacion instantanea. Soporte 24/7 por chat.</t>
        </is>
      </c>
    </row>
    <row r="5" ht="28" customHeight="1">
      <c r="A5" s="17" t="inlineStr">
        <is>
          <t>JLCCNC</t>
        </is>
      </c>
      <c r="B5" s="7" t="inlineStr">
        <is>
          <t>CNC aluminio, acero inoxidable</t>
        </is>
      </c>
      <c r="C5" s="7" t="inlineStr">
        <is>
          <t>Shenzhen, China</t>
        </is>
      </c>
      <c r="D5" s="8" t="inlineStr">
        <is>
          <t>jlcpcb.com/cnc</t>
        </is>
      </c>
      <c r="E5" s="8" t="inlineStr">
        <is>
          <t>Online self-service</t>
        </is>
      </c>
      <c r="F5" s="8" t="inlineStr">
        <is>
          <t>Mismo portal JLCPCB. Tolerancia ±0.05mm. Hard anodize disponible.</t>
        </is>
      </c>
    </row>
    <row r="6" ht="28" customHeight="1">
      <c r="A6" s="15" t="inlineStr">
        <is>
          <t>LCSC Electronics</t>
        </is>
      </c>
      <c r="B6" s="11" t="inlineStr">
        <is>
          <t>Componentes SMD y pasivos</t>
        </is>
      </c>
      <c r="C6" s="11" t="inlineStr">
        <is>
          <t>Shenzhen, China</t>
        </is>
      </c>
      <c r="D6" s="12" t="inlineStr">
        <is>
          <t>lcsc.com</t>
        </is>
      </c>
      <c r="E6" s="12" t="inlineStr">
        <is>
          <t>Online self-service</t>
        </is>
      </c>
      <c r="F6" s="12" t="inlineStr">
        <is>
          <t>Mayor distribuidor de componentes en Asia. Stock propio.</t>
        </is>
      </c>
    </row>
    <row r="7" ht="28" customHeight="1">
      <c r="A7" s="17" t="inlineStr">
        <is>
          <t>Mouser Electronics</t>
        </is>
      </c>
      <c r="B7" s="7" t="inlineStr">
        <is>
          <t>ICs criticos: FPGA, ADC, FIDO2</t>
        </is>
      </c>
      <c r="C7" s="7" t="inlineStr">
        <is>
          <t>Fort Worth TX, EE.UU.</t>
        </is>
      </c>
      <c r="D7" s="8" t="inlineStr">
        <is>
          <t>mouser.com</t>
        </is>
      </c>
      <c r="E7" s="8" t="inlineStr">
        <is>
          <t>Online / sales team</t>
        </is>
      </c>
      <c r="F7" s="8" t="inlineStr">
        <is>
          <t>Distribuidor autorizado TI, Xilinx, Microchip. Envio a UY.</t>
        </is>
      </c>
    </row>
    <row r="8" ht="28" customHeight="1">
      <c r="A8" s="15" t="inlineStr">
        <is>
          <t xml:space="preserve">Analog Devices</t>
        </is>
      </c>
      <c r="B8" s="11" t="inlineStr">
        <is>
          <t xml:space="preserve">ADC AD7689 — fabricante</t>
        </is>
      </c>
      <c r="C8" s="11" t="inlineStr">
        <is>
          <t xml:space="preserve">Wilmington MA, EE.UU.</t>
        </is>
      </c>
      <c r="D8" s="12" t="inlineStr">
        <is>
          <t xml:space="preserve">analog.com</t>
        </is>
      </c>
      <c r="E8" s="12" t="inlineStr">
        <is>
          <t>Via Mouser/Arrow</t>
        </is>
      </c>
      <c r="F8" s="12" t="inlineStr">
        <is>
          <t xml:space="preserve">Lead time a verificar para AD7689. Consultar stock (Mouser/Arrow/Analog Devices).</t>
        </is>
      </c>
    </row>
    <row r="9" ht="28" customHeight="1">
      <c r="A9" s="17" t="inlineStr">
        <is>
          <t>AMD / Xilinx</t>
        </is>
      </c>
      <c r="B9" s="7" t="inlineStr">
        <is>
          <t>FPGA Artix-7 — fabricante</t>
        </is>
      </c>
      <c r="C9" s="7" t="inlineStr">
        <is>
          <t>Santa Clara CA, EE.UU.</t>
        </is>
      </c>
      <c r="D9" s="8" t="inlineStr">
        <is>
          <t>amd.com/xilinx</t>
        </is>
      </c>
      <c r="E9" s="8" t="inlineStr">
        <is>
          <t>Via Mouser</t>
        </is>
      </c>
      <c r="F9" s="8" t="inlineStr">
        <is>
          <t>Single-source. Confirmar disponibilidad antes de orden prod.</t>
        </is>
      </c>
    </row>
    <row r="10" ht="28" customHeight="1">
      <c r="A10" s="15" t="inlineStr">
        <is>
          <t>Microchip Technology</t>
        </is>
      </c>
      <c r="B10" s="11" t="inlineStr">
        <is>
          <t>ATECC608A FIDO2 — fabricante</t>
        </is>
      </c>
      <c r="C10" s="11" t="inlineStr">
        <is>
          <t>Chandler AZ, EE.UU.</t>
        </is>
      </c>
      <c r="D10" s="12" t="inlineStr">
        <is>
          <t>microchip.com</t>
        </is>
      </c>
      <c r="E10" s="12" t="inlineStr">
        <is>
          <t>Via Mouser</t>
        </is>
      </c>
      <c r="F10" s="12" t="inlineStr">
        <is>
          <t>EAL5+. Lead time tipico 2-4 semanas.</t>
        </is>
      </c>
    </row>
    <row r="11" ht="28" customHeight="1">
      <c r="A11" s="17" t="inlineStr">
        <is>
          <t>CeraKey</t>
        </is>
      </c>
      <c r="B11" s="7" t="inlineStr">
        <is>
          <t>Keycaps de ceramica tecnica (premium)</t>
        </is>
      </c>
      <c r="C11" s="7" t="inlineStr">
        <is>
          <t>Shenzhen, China</t>
        </is>
      </c>
      <c r="D11" s="8" t="inlineStr">
        <is>
          <t>cerakey.com</t>
        </is>
      </c>
      <c r="E11" s="8" t="inlineStr">
        <is>
          <t>Contacto directo</t>
        </is>
      </c>
      <c r="F11" s="8" t="inlineStr">
        <is>
          <t>MOQ 50 sets. Presupuesto a pedido. cerakey.com/wholesale</t>
        </is>
      </c>
    </row>
    <row r="12" ht="28" customHeight="1">
      <c r="A12" s="15" t="inlineStr">
        <is>
          <t>KBDfans</t>
        </is>
      </c>
      <c r="B12" s="11" t="inlineStr">
        <is>
          <t>Keycaps PBT double-shot</t>
        </is>
      </c>
      <c r="C12" s="11" t="inlineStr">
        <is>
          <t>Shenzhen, China</t>
        </is>
      </c>
      <c r="D12" s="12" t="inlineStr">
        <is>
          <t>kbdfans.com</t>
        </is>
      </c>
      <c r="E12" s="12" t="inlineStr">
        <is>
          <t>Online / custom order</t>
        </is>
      </c>
      <c r="F12" s="12" t="inlineStr">
        <is>
          <t>MOQ 100 sets para perfil custom. 6-8 semanas.</t>
        </is>
      </c>
    </row>
    <row r="13" ht="28" customHeight="1">
      <c r="A13" s="17" t="inlineStr">
        <is>
          <t>DHL Express</t>
        </is>
      </c>
      <c r="B13" s="7" t="inlineStr">
        <is>
          <t>Envio internacional HK → destino</t>
        </is>
      </c>
      <c r="C13" s="7" t="inlineStr">
        <is>
          <t>Hong Kong</t>
        </is>
      </c>
      <c r="D13" s="8" t="inlineStr">
        <is>
          <t>dhl.com</t>
        </is>
      </c>
      <c r="E13" s="8" t="inlineStr">
        <is>
          <t>Cuenta corporativa</t>
        </is>
      </c>
      <c r="F13" s="8" t="inlineStr">
        <is>
          <t>Tarifa negociada con cuenta Business. Seguro incluido.</t>
        </is>
      </c>
    </row>
    <row r="14" ht="28" customHeight="1">
      <c r="A14" s="15" t="inlineStr">
        <is>
          <t>Dongguan Glass Tech</t>
        </is>
      </c>
      <c r="B14" s="11" t="inlineStr">
        <is>
          <t>Panel de vidrio DLC</t>
        </is>
      </c>
      <c r="C14" s="11" t="inlineStr">
        <is>
          <t>Dongguan, China</t>
        </is>
      </c>
      <c r="D14" s="12" t="inlineStr">
        <is>
          <t>alibaba.com (buscar 'DLC keyboard glass')</t>
        </is>
      </c>
      <c r="E14" s="12" t="inlineStr">
        <is>
          <t>Via Alibaba / contacto directo</t>
        </is>
      </c>
      <c r="F14" s="12" t="inlineStr">
        <is>
          <t>Diamond-Like Carbon. Cotizacion por volumen.</t>
        </is>
      </c>
    </row>
    <row r="15" ht="28" customHeight="1">
      <c r="A15" s="17" t="inlineStr">
        <is>
          <t>Shenzhen Silicone MFG</t>
        </is>
      </c>
      <c r="B15" s="7" t="inlineStr">
        <is>
          <t>Gaskets de silicona custom</t>
        </is>
      </c>
      <c r="C15" s="7" t="inlineStr">
        <is>
          <t>Shenzhen, China</t>
        </is>
      </c>
      <c r="D15" s="8" t="inlineStr">
        <is>
          <t>alibaba.com</t>
        </is>
      </c>
      <c r="E15" s="8" t="inlineStr">
        <is>
          <t>Via Alibaba</t>
        </is>
      </c>
      <c r="F15" s="8" t="inlineStr">
        <is>
          <t>MOQ 50 unidades para gasket custom. Moho unico.</t>
        </is>
      </c>
    </row>
    <row r="16" ht="28" customHeight="1">
      <c r="A16" s="15" t="inlineStr">
        <is>
          <t>pid.codes</t>
        </is>
      </c>
      <c r="B16" s="11" t="inlineStr">
        <is>
          <t>VID/PID USB abierto</t>
        </is>
      </c>
      <c r="C16" s="11" t="inlineStr">
        <is>
          <t>Internacional (online)</t>
        </is>
      </c>
      <c r="D16" s="12" t="inlineStr">
        <is>
          <t>pid.codes</t>
        </is>
      </c>
      <c r="E16" s="12" t="inlineStr">
        <is>
          <t>Registro gratuito</t>
        </is>
      </c>
      <c r="F16" s="12" t="inlineStr">
        <is>
          <t>VID 0x1209 asignado. PID 0x4C58 registrado en repositorio.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38" customWidth="1" min="4" max="4"/>
  </cols>
  <sheetData>
    <row r="1" ht="28" customHeight="1">
      <c r="A1" s="19" t="inlineStr">
        <is>
          <t>LITHOS WORKSHOP — PULSAR · DESGLOSE DE COSTO POR UNIDAD</t>
        </is>
      </c>
    </row>
    <row r="2" ht="14" customHeight="1">
      <c r="A2" s="20" t="inlineStr">
        <is>
          <t>Escenario base: lote de 100 unidades con keycaps PBT. Variantes indicadas.</t>
        </is>
      </c>
    </row>
    <row r="3" ht="20" customHeight="1">
      <c r="A3" s="4" t="inlineStr">
        <is>
          <t>Componente / Servicio</t>
        </is>
      </c>
      <c r="B3" s="4" t="inlineStr">
        <is>
          <t>USD x Unidad (100u)</t>
        </is>
      </c>
      <c r="C3" s="4" t="inlineStr">
        <is>
          <t>USD x Unidad (500u)</t>
        </is>
      </c>
      <c r="D3" s="4" t="inlineStr">
        <is>
          <t>Observacion</t>
        </is>
      </c>
    </row>
    <row r="4" ht="16" customHeight="1">
      <c r="A4" s="5" t="inlineStr">
        <is>
          <t>PCB Y ENSAMBLE</t>
        </is>
      </c>
    </row>
    <row r="5" ht="20" customHeight="1">
      <c r="A5" s="7" t="inlineStr">
        <is>
          <t>PCB 16 capas ENIG</t>
        </is>
      </c>
      <c r="B5" s="9" t="n">
        <v>68</v>
      </c>
      <c r="C5" s="9" t="n">
        <v>42</v>
      </c>
      <c r="D5" s="8" t="inlineStr">
        <is>
          <t>Precio incluye setup fee amortizado.</t>
        </is>
      </c>
    </row>
    <row r="6" ht="20" customHeight="1">
      <c r="A6" s="11" t="inlineStr">
        <is>
          <t>PCBA — ensamble SMD</t>
        </is>
      </c>
      <c r="B6" s="13" t="n">
        <v>85</v>
      </c>
      <c r="C6" s="13" t="n">
        <v>62</v>
      </c>
      <c r="D6" s="12" t="inlineStr">
        <is>
          <t>BOM + soldadura + AOI + flying probe.</t>
        </is>
      </c>
    </row>
    <row r="7" ht="20" customHeight="1">
      <c r="A7" s="7" t="inlineStr">
        <is>
          <t>ICT / Flying probe test</t>
        </is>
      </c>
      <c r="B7" s="9" t="n">
        <v>3.5</v>
      </c>
      <c r="C7" s="9" t="n">
        <v>2</v>
      </c>
      <c r="D7" s="8" t="inlineStr">
        <is>
          <t>Control de calidad 100%.</t>
        </is>
      </c>
    </row>
    <row r="8" ht="16" customHeight="1">
      <c r="A8" s="5" t="inlineStr">
        <is>
          <t>COMPONENTES CRITICOS</t>
        </is>
      </c>
    </row>
    <row r="9" ht="20" customHeight="1">
      <c r="A9" s="7" t="inlineStr">
        <is>
          <t>FPGA Artix-7 XC7A200T</t>
        </is>
      </c>
      <c r="B9" s="9" t="n">
        <v>88</v>
      </c>
      <c r="C9" s="9" t="n">
        <v>80</v>
      </c>
      <c r="D9" s="8" t="inlineStr">
        <is>
          <t>Componente de mayor costo. Single-source.</t>
        </is>
      </c>
    </row>
    <row r="10" ht="20" customHeight="1">
      <c r="A10" s="11" t="inlineStr">
        <is>
          <t>STM32F405</t>
        </is>
      </c>
      <c r="B10" s="13" t="n">
        <v>6.8</v>
      </c>
      <c r="C10" s="13" t="n">
        <v>5.9</v>
      </c>
      <c r="D10" s="12" t="inlineStr">
        <is>
          <t>Doble rol: USB HID + FIDO2 bridge.</t>
        </is>
      </c>
    </row>
    <row r="11" ht="20" customHeight="1">
      <c r="A11" s="7" t="inlineStr">
        <is>
          <t xml:space="preserve">ADC AD7689 x8</t>
        </is>
      </c>
      <c r="B11" s="9" t="n">
        <v>68</v>
      </c>
      <c r="C11" s="9" t="n">
        <v>58</v>
      </c>
      <c r="D11" s="8" t="inlineStr">
        <is>
          <t xml:space="preserve">8 ADCs de 16-bit (AD7689) para 61 sensores Hall. ⚠ Precios (68/58) eran de ADS8688; recotizar AD7689 y x8.</t>
        </is>
      </c>
    </row>
    <row r="12" ht="20" customHeight="1">
      <c r="A12" s="11" t="inlineStr">
        <is>
          <t>Sensores Hall SS49E x64</t>
        </is>
      </c>
      <c r="B12" s="13" t="n">
        <v>28</v>
      </c>
      <c r="C12" s="13" t="n">
        <v>22.4</v>
      </c>
      <c r="D12" s="12" t="inlineStr">
        <is>
          <t>0.44 USD por sensor.</t>
        </is>
      </c>
    </row>
    <row r="13" ht="20" customHeight="1">
      <c r="A13" s="7" t="inlineStr">
        <is>
          <t>ATECC608A FIDO2</t>
        </is>
      </c>
      <c r="B13" s="9" t="n">
        <v>2.4</v>
      </c>
      <c r="C13" s="9" t="n">
        <v>1.95</v>
      </c>
      <c r="D13" s="8" t="inlineStr">
        <is>
          <t>Autenticacion hardware certificada.</t>
        </is>
      </c>
    </row>
    <row r="14" ht="20" customHeight="1">
      <c r="A14" s="11" t="inlineStr">
        <is>
          <t>SRAM IS61WV102416BLL</t>
        </is>
      </c>
      <c r="B14" s="13" t="n">
        <v>12</v>
      </c>
      <c r="C14" s="13" t="n">
        <v>9.800000000000001</v>
      </c>
      <c r="D14" s="12" t="inlineStr">
        <is>
          <t>Buffer de frame del sensor controller.</t>
        </is>
      </c>
    </row>
    <row r="15" ht="20" customHeight="1">
      <c r="A15" s="7" t="inlineStr">
        <is>
          <t>Flash, osciladores, reguladores, otros ICs</t>
        </is>
      </c>
      <c r="B15" s="9" t="n">
        <v>10.75</v>
      </c>
      <c r="C15" s="9" t="n">
        <v>8.449999999999999</v>
      </c>
      <c r="D15" s="8" t="inlineStr">
        <is>
          <t>Estimado consolidado.</t>
        </is>
      </c>
    </row>
    <row r="16" ht="20" customHeight="1">
      <c r="A16" s="11" t="inlineStr">
        <is>
          <t>Pasivos (cap., resist., induc.) — BOM completo</t>
        </is>
      </c>
      <c r="B16" s="13" t="n">
        <v>9.300000000000001</v>
      </c>
      <c r="C16" s="13" t="n">
        <v>6.7</v>
      </c>
      <c r="D16" s="12" t="inlineStr">
        <is>
          <t>~350 componentes pasivos.</t>
        </is>
      </c>
    </row>
    <row r="17" ht="16" customHeight="1">
      <c r="A17" s="5" t="inlineStr">
        <is>
          <t>CARCASA Y MECANICA</t>
        </is>
      </c>
    </row>
    <row r="18" ht="20" customHeight="1">
      <c r="A18" s="11" t="inlineStr">
        <is>
          <t>CNC aluminio 6061-T6 (top + bottom)</t>
        </is>
      </c>
      <c r="B18" s="13" t="n">
        <v>68</v>
      </c>
      <c r="C18" s="13" t="n">
        <v>52</v>
      </c>
      <c r="D18" s="12" t="inlineStr">
        <is>
          <t>Hard anodize negro mate incluido.</t>
        </is>
      </c>
    </row>
    <row r="19" ht="20" customHeight="1">
      <c r="A19" s="7" t="inlineStr">
        <is>
          <t>Placa de peso SS304</t>
        </is>
      </c>
      <c r="B19" s="9" t="n">
        <v>22</v>
      </c>
      <c r="C19" s="9" t="n">
        <v>16</v>
      </c>
      <c r="D19" s="8" t="inlineStr">
        <is>
          <t>Damping acustico e inercial.</t>
        </is>
      </c>
    </row>
    <row r="20" ht="20" customHeight="1">
      <c r="A20" s="11" t="inlineStr">
        <is>
          <t>Gasket de silicona Shore A40</t>
        </is>
      </c>
      <c r="B20" s="13" t="n">
        <v>5.8</v>
      </c>
      <c r="C20" s="13" t="n">
        <v>3.9</v>
      </c>
      <c r="D20" s="12" t="inlineStr">
        <is>
          <t>Perfil custom. Moho amortizado en 100+.</t>
        </is>
      </c>
    </row>
    <row r="21" ht="20" customHeight="1">
      <c r="A21" s="7" t="inlineStr">
        <is>
          <t>Panel de vidrio DLC</t>
        </is>
      </c>
      <c r="B21" s="9" t="n">
        <v>18</v>
      </c>
      <c r="C21" s="9" t="n">
        <v>12</v>
      </c>
      <c r="D21" s="8" t="inlineStr">
        <is>
          <t>Diamond-Like Carbon. 0.7mm.</t>
        </is>
      </c>
    </row>
    <row r="22" ht="20" customHeight="1">
      <c r="A22" s="11" t="inlineStr">
        <is>
          <t>Tornilleria, pies, hardware menor</t>
        </is>
      </c>
      <c r="B22" s="13" t="n">
        <v>2.25</v>
      </c>
      <c r="C22" s="13" t="n">
        <v>1.7</v>
      </c>
      <c r="D22" s="12" t="inlineStr">
        <is>
          <t>Acabado negro. SS304.</t>
        </is>
      </c>
    </row>
    <row r="23" ht="16" customHeight="1">
      <c r="A23" s="5" t="inlineStr">
        <is>
          <t>KEYCAPS Y PERFIL</t>
        </is>
      </c>
    </row>
    <row r="24" ht="20" customHeight="1">
      <c r="A24" s="11" t="inlineStr">
        <is>
          <t>Keycaps PBT double-shot (perfil LITHOS)</t>
        </is>
      </c>
      <c r="B24" s="13" t="n">
        <v>42</v>
      </c>
      <c r="C24" s="13" t="n">
        <v>32</v>
      </c>
      <c r="D24" s="12" t="inlineStr">
        <is>
          <t>68 teclas. Gris oscuro / blanco.</t>
        </is>
      </c>
    </row>
    <row r="25" ht="20" customHeight="1">
      <c r="A25" s="7" t="inlineStr">
        <is>
          <t>Keycaps CeraKey — ceramica (upgrade)</t>
        </is>
      </c>
      <c r="B25" s="9" t="n">
        <v>280</v>
      </c>
      <c r="C25" s="9" t="n">
        <v>240</v>
      </c>
      <c r="D25" s="8" t="inlineStr">
        <is>
          <t>Opcion premium. Precio diferencial.</t>
        </is>
      </c>
    </row>
    <row r="26" ht="16" customHeight="1">
      <c r="A26" s="5" t="inlineStr">
        <is>
          <t>PACKAGING</t>
        </is>
      </c>
    </row>
    <row r="27" ht="20" customHeight="1">
      <c r="A27" s="7" t="inlineStr">
        <is>
          <t>Caja rigida lino + foam EVA</t>
        </is>
      </c>
      <c r="B27" s="9" t="n">
        <v>7.2</v>
      </c>
      <c r="C27" s="9" t="n">
        <v>5.4</v>
      </c>
      <c r="D27" s="8" t="inlineStr"/>
    </row>
    <row r="28" ht="20" customHeight="1">
      <c r="A28" s="11" t="inlineStr">
        <is>
          <t>Tarjeta de edicion + certificado</t>
        </is>
      </c>
      <c r="B28" s="13" t="n">
        <v>0.95</v>
      </c>
      <c r="C28" s="13" t="n">
        <v>0.6</v>
      </c>
      <c r="D28" s="12" t="inlineStr"/>
    </row>
    <row r="29" ht="20" customHeight="1">
      <c r="A29" s="7" t="inlineStr">
        <is>
          <t>Cable USB-C trenzado 1.8m</t>
        </is>
      </c>
      <c r="B29" s="9" t="n">
        <v>3.8</v>
      </c>
      <c r="C29" s="9" t="n">
        <v>2.6</v>
      </c>
      <c r="D29" s="8" t="inlineStr"/>
    </row>
    <row r="30" ht="16" customHeight="1">
      <c r="A30" s="5" t="inlineStr">
        <is>
          <t>LOGISTICA</t>
        </is>
      </c>
    </row>
    <row r="31" ht="20" customHeight="1">
      <c r="A31" s="7" t="inlineStr">
        <is>
          <t>Consolidacion HK + DHL Express</t>
        </is>
      </c>
      <c r="B31" s="9" t="n">
        <v>63</v>
      </c>
      <c r="C31" s="9" t="n">
        <v>54</v>
      </c>
      <c r="D31" s="8" t="inlineStr">
        <is>
          <t>Por unidad. Trazable. Seguro incluido.</t>
        </is>
      </c>
    </row>
    <row r="32" ht="16" customHeight="1">
      <c r="A32" s="5" t="inlineStr">
        <is>
          <t>TOTALES</t>
        </is>
      </c>
    </row>
    <row r="33" ht="20" customHeight="1">
      <c r="A33" s="21" t="inlineStr">
        <is>
          <t>TOTAL COGS — PBT keycaps</t>
        </is>
      </c>
      <c r="B33" s="22" t="n">
        <v>614.75</v>
      </c>
      <c r="C33" s="22" t="n">
        <v>479.4</v>
      </c>
      <c r="D33" s="23" t="inlineStr">
        <is>
          <t>Calculado abajo</t>
        </is>
      </c>
    </row>
    <row r="34" ht="20" customHeight="1">
      <c r="A34" s="21" t="inlineStr">
        <is>
          <t>TOTAL COGS — CeraKey</t>
        </is>
      </c>
      <c r="B34" s="22" t="n">
        <v>852.75</v>
      </c>
      <c r="C34" s="22" t="n">
        <v>687.4</v>
      </c>
      <c r="D34" s="23" t="inlineStr">
        <is>
          <t>Calculado abajo</t>
        </is>
      </c>
    </row>
    <row r="35" ht="20" customHeight="1">
      <c r="A35" s="17" t="inlineStr">
        <is>
          <t>Precio de venta</t>
        </is>
      </c>
      <c r="B35" s="24" t="n">
        <v>2900</v>
      </c>
      <c r="C35" s="24" t="n">
        <v>2900</v>
      </c>
      <c r="D35" s="25" t="inlineStr">
        <is>
          <t>Unico para todas las variantes.</t>
        </is>
      </c>
    </row>
    <row r="36" ht="18" customHeight="1">
      <c r="A36" s="21" t="inlineStr">
        <is>
          <t>Margen bruto — PBT keycaps</t>
        </is>
      </c>
      <c r="B36" s="26">
        <f>(2900-614.75)/2900</f>
        <v/>
      </c>
      <c r="C36" s="26">
        <f>(2900-479.40)/2900</f>
        <v/>
      </c>
      <c r="D36" s="23" t="inlineStr">
        <is>
          <t>Margen bruto sobre precio de venta</t>
        </is>
      </c>
    </row>
    <row r="37" ht="18" customHeight="1">
      <c r="A37" s="21" t="inlineStr">
        <is>
          <t>Margen bruto — CeraKey</t>
        </is>
      </c>
      <c r="B37" s="26">
        <f>(2900-852.75)/2900</f>
        <v/>
      </c>
      <c r="C37" s="26">
        <f>(2900-687.40)/2900</f>
        <v/>
      </c>
      <c r="D37" s="23" t="inlineStr">
        <is>
          <t>Margen bruto sobre precio de venta</t>
        </is>
      </c>
    </row>
  </sheetData>
  <mergeCells count="9">
    <mergeCell ref="A1:D1"/>
    <mergeCell ref="A17:D17"/>
    <mergeCell ref="A23:D23"/>
    <mergeCell ref="A8:D8"/>
    <mergeCell ref="A4:D4"/>
    <mergeCell ref="A26:D26"/>
    <mergeCell ref="A30:D30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2026-05-20T21:33:45Z</dcterms:created>
  <dcterms:modified xmlns:dcterms="http://purl.org/dc/terms/" xmlns:xsi="http://www.w3.org/2001/XMLSchema-instance" xsi:type="dcterms:W3CDTF">2026-05-20T21:33:45Z</dcterms:modified>
</cp:coreProperties>
</file>